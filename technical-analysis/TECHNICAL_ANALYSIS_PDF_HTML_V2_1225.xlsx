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AMARDATA\GITHUB\XLWINGS\tools_review\ta\fixed\"/>
    </mc:Choice>
  </mc:AlternateContent>
  <xr:revisionPtr revIDLastSave="0" documentId="8_{B6B1315D-4BCA-48BE-A70F-A58FDF7ABF88}" xr6:coauthVersionLast="47" xr6:coauthVersionMax="47" xr10:uidLastSave="{00000000-0000-0000-0000-000000000000}"/>
  <bookViews>
    <workbookView xWindow="1920" yWindow="1920" windowWidth="19308" windowHeight="12084" tabRatio="736" xr2:uid="{528BE8C9-8211-474B-848F-0939E387E075}"/>
  </bookViews>
  <sheets>
    <sheet name="HOW_IT_WORKS" sheetId="196" r:id="rId1"/>
    <sheet name="MASTER" sheetId="8" r:id="rId2"/>
    <sheet name="PRICES_DAILY" sheetId="193" r:id="rId3"/>
    <sheet name="PRICES_WEEKLY" sheetId="194" r:id="rId4"/>
    <sheet name="CHARTS" sheetId="19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8" l="1"/>
  <c r="A24" i="8"/>
</calcChain>
</file>

<file path=xl/sharedStrings.xml><?xml version="1.0" encoding="utf-8"?>
<sst xmlns="http://schemas.openxmlformats.org/spreadsheetml/2006/main" count="86" uniqueCount="68">
  <si>
    <t>HIGH</t>
  </si>
  <si>
    <t>EMA_12</t>
  </si>
  <si>
    <t>EMA_26</t>
  </si>
  <si>
    <t>RSI_14</t>
  </si>
  <si>
    <t>MACD_12_26</t>
  </si>
  <si>
    <t>MACD_SIGNAL_9</t>
  </si>
  <si>
    <t>DATE</t>
  </si>
  <si>
    <t>OPEN</t>
  </si>
  <si>
    <t>LOW</t>
  </si>
  <si>
    <t>CLOSE</t>
  </si>
  <si>
    <t>VOLUME</t>
  </si>
  <si>
    <t>ROC_14</t>
  </si>
  <si>
    <t>^NSEI</t>
  </si>
  <si>
    <t>Technical Analysis Reports from Excel</t>
  </si>
  <si>
    <t>Prices from an API, indicators and charts computed in Python inside Excel, and an AI-written report from an API.</t>
  </si>
  <si>
    <t>Quick start: type a Yahoo Finance symbol, click 1. Pull Prices &amp; Charts, then 2. Get AI Report.</t>
  </si>
  <si>
    <t>Step 1. Symbol and dates</t>
  </si>
  <si>
    <t>Yahoo Finance symbol (^NSEI, RELIANCE.NS, AAPL, EURUSD=X):</t>
  </si>
  <si>
    <t>Daily range start (empty = 6 months before the end):</t>
  </si>
  <si>
    <t>Daily range end (empty = today):</t>
  </si>
  <si>
    <t>Weekly range start (empty = 3 years before the end):</t>
  </si>
  <si>
    <t>Weekly range end (empty = today):</t>
  </si>
  <si>
    <t>AI report model for step 3 (Sonnet is the default):</t>
  </si>
  <si>
    <t>Step 2. Prices, indicators and charts in Excel</t>
  </si>
  <si>
    <t>Daily prices from the TIGZIG Yahoo Finance API, weekly bars built</t>
  </si>
  <si>
    <t>from them, EMA, RSI, ROC, MACD, Bollinger, Stochastic, Williams %R.</t>
  </si>
  <si>
    <t>Output: PRICES_DAILY, PRICES_WEEKLY and CHARTS.</t>
  </si>
  <si>
    <t>Step 3. AI report (PDF + HTML)</t>
  </si>
  <si>
    <t>Sends the symbol and dates to the TIGZIG Technical Analysis API. An LLM</t>
  </si>
  <si>
    <t>reads the charts and indicators and writes the report. About a minute.</t>
  </si>
  <si>
    <t>No API key needed. Limit: 20 reports a day per IP address.</t>
  </si>
  <si>
    <t>claude-sonnet-5-5</t>
  </si>
  <si>
    <t>https://mdtopdf.tigzig.com/static/pdfs/report_20261021_133647_3054168b.pdf</t>
  </si>
  <si>
    <t>https://mdtopdf.tigzig.com/static/html/report_20261021_133647_3054168b.html</t>
  </si>
  <si>
    <t>Daily prices and indicators: ^NSEI, 22 Apr 2026 to 21 Oct 2026</t>
  </si>
  <si>
    <t>BB_UPPER_20_2</t>
  </si>
  <si>
    <t>BB_MIDDLE_20</t>
  </si>
  <si>
    <t>BB_LOWER_20_2</t>
  </si>
  <si>
    <t>STOCH_K_14</t>
  </si>
  <si>
    <t>STOCH_D_3</t>
  </si>
  <si>
    <t>WILLIAMS_R_14</t>
  </si>
  <si>
    <t>Weekly prices and indicators (weeks ending Friday): ^NSEI, 22 Oct 2023 to 21 Oct 2026</t>
  </si>
  <si>
    <t>^NSEI: daily (left) and weekly (right)</t>
  </si>
  <si>
    <t>Technical Analysis Reports: how it works</t>
  </si>
  <si>
    <t>Two things you can do from Excel with xlwings Lite: pull data from an API and compute indicators and charts in Python, and call an API that returns an AI-written report.</t>
  </si>
  <si>
    <t>Steps</t>
  </si>
  <si>
    <t>1. Symbol and dates</t>
  </si>
  <si>
    <t>MASTER C7: any Yahoo Finance symbol. Non-US listings carry an exchange suffix: RELIANCE.NS (NSE), .BO (BSE), .L (London). Indices look like ^NSEI, FX like EURUSD=X. C8:C11: leave empty for the last 6 months (daily) and the last 3 years (weekly) up to today, or type dates.</t>
  </si>
  <si>
    <t>2. Prices &amp; charts</t>
  </si>
  <si>
    <t>"1. Pull Prices &amp; Charts" pulls daily prices from the TIGZIG Yahoo Finance API (open, no key), builds weekly bars ending Friday, and computes the indicators in pandas: EMA 12 and 26, RSI 14, ROC 14, MACD (12, 26, 9), Bollinger Bands (20, 2), Stochastic %K 14 / %D 3 and Williams %R 14. Charts: price with EMAs and Bollinger Bands, MACD, RSI and ROC, daily and weekly.</t>
  </si>
  <si>
    <t>3. AI report</t>
  </si>
  <si>
    <t>"2. Get AI Report (PDF + HTML)" sends the symbol and the four dates to the TIGZIG Technical Analysis API (open, no key). The server pulls the data, draws the charts, has an LLM write the analysis and returns links to a PDF and an HTML report. The links appear on MASTER. Model (C12): Claude Sonnet 5.5 by default, or Claude Opus 5.5. Limit: 20 reports a day per IP address.</t>
  </si>
  <si>
    <t>Sheets</t>
  </si>
  <si>
    <t>MASTER</t>
  </si>
  <si>
    <t>Symbol, dates, buttons, messages (red = error, blue = done) and the report links.</t>
  </si>
  <si>
    <t>PRICES_DAILY / WEEKLY</t>
  </si>
  <si>
    <t>Prices and indicators, one row per day or week. The last week may be partial.</t>
  </si>
  <si>
    <t>CHARTS</t>
  </si>
  <si>
    <t>Daily (left) and weekly (right) charts. The workbook ships with ^NSEI.</t>
  </si>
  <si>
    <t>Good to know</t>
  </si>
  <si>
    <t>Indicators</t>
  </si>
  <si>
    <t>The formulas are in the code (add_indicators in main.py), in plain pandas, so you can check or change them.</t>
  </si>
  <si>
    <t>Two different engines</t>
  </si>
  <si>
    <t>Step 2 runs in Excel; step 3 runs on the server. Use step 2 to look at the numbers yourself and step 3 for the written report.</t>
  </si>
  <si>
    <t>APIs</t>
  </si>
  <si>
    <t>Docs: yfin-h.tigzig.com/docs (prices) and ta.tigzig.com/docs (reports). Both allow requests from xlwings Lite.</t>
  </si>
  <si>
    <t>Not advice</t>
  </si>
  <si>
    <t>The report is an automated technical reading of price history, not investment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</si>
</sst>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 #,##0_ ;_ * \-#,##0_ ;_ * &quot;-&quot;??_ ;_ @_ "/>
    <numFmt numFmtId="165" formatCode="ddd/dd/mmm/yyyy"/>
    <numFmt numFmtId="166" formatCode="_ * #,##0.0_ ;_ * \-#,##0.0_ ;_ * &quot;-&quot;??_ ;_ @_ "/>
    <numFmt numFmtId="167" formatCode="dd/mmm/yyyy"/>
  </numFmts>
  <fonts count="17" x14ac:knownFonts="1">
    <font>
      <sz val="11"/>
      <color theme="1"/>
      <name val="Aptos Narrow"/>
      <family val="2"/>
      <scheme val="minor"/>
    </font>
    <font>
      <sz val="11"/>
      <color theme="1"/>
      <name val="Aptos Narrow"/>
      <family val="2"/>
      <scheme val="minor"/>
    </font>
    <font>
      <sz val="13"/>
      <color theme="1"/>
      <name val="Aptos Narrow"/>
      <family val="2"/>
      <scheme val="minor"/>
    </font>
    <font>
      <u/>
      <sz val="11"/>
      <color theme="10"/>
      <name val="Aptos Narrow"/>
      <family val="2"/>
      <scheme val="minor"/>
    </font>
    <font>
      <b/>
      <sz val="14"/>
      <color theme="1"/>
      <name val="Aptos Narrow"/>
      <family val="2"/>
      <scheme val="minor"/>
    </font>
    <font>
      <sz val="12"/>
      <color theme="1"/>
      <name val="Aptos Narrow"/>
      <family val="2"/>
      <scheme val="minor"/>
    </font>
    <font>
      <b/>
      <sz val="12"/>
      <color theme="1"/>
      <name val="Aptos Narrow"/>
      <family val="2"/>
      <scheme val="minor"/>
    </font>
    <font>
      <i/>
      <sz val="12"/>
      <color theme="1"/>
      <name val="Aptos Narrow"/>
      <family val="2"/>
      <scheme val="minor"/>
    </font>
    <font>
      <b/>
      <sz val="11"/>
      <color theme="1"/>
      <name val="Aptos Narrow"/>
      <family val="2"/>
      <scheme val="minor"/>
    </font>
    <font>
      <b/>
      <sz val="20"/>
      <color theme="1"/>
      <name val="Aptos Narrow"/>
      <family val="2"/>
      <scheme val="minor"/>
    </font>
    <font>
      <sz val="14"/>
      <color theme="1"/>
      <name val="Aptos Narrow"/>
      <family val="2"/>
      <scheme val="minor"/>
    </font>
    <font>
      <b/>
      <sz val="14"/>
      <color rgb="FF1F4E79"/>
      <name val="Aptos Narrow"/>
      <family val="2"/>
      <scheme val="minor"/>
    </font>
    <font>
      <b/>
      <sz val="15"/>
      <color rgb="FF1F4E79"/>
      <name val="Aptos Narrow"/>
      <family val="2"/>
      <scheme val="minor"/>
    </font>
    <font>
      <u/>
      <sz val="14"/>
      <color theme="10"/>
      <name val="Aptos Narrow"/>
      <family val="2"/>
      <scheme val="minor"/>
    </font>
    <font>
      <sz val="10"/>
      <color theme="1"/>
      <name val="Aptos Narrow"/>
      <family val="2"/>
      <scheme val="minor"/>
    </font>
    <font>
      <b/>
      <sz val="16"/>
      <color theme="1"/>
      <name val="Aptos Narrow"/>
      <family val="2"/>
      <scheme val="minor"/>
    </font>
    <font>
      <b/>
      <sz val="13"/>
      <color theme="1"/>
      <name val="Aptos Narrow"/>
      <family val="2"/>
      <scheme val="minor"/>
    </font>
  </fonts>
  <fills count="4">
    <fill>
      <patternFill patternType="none"/>
    </fill>
    <fill>
      <patternFill patternType="gray125"/>
    </fill>
    <fill>
      <patternFill patternType="solid">
        <fgColor rgb="FFDDEBF7"/>
        <bgColor indexed="64"/>
      </patternFill>
    </fill>
    <fill>
      <patternFill patternType="solid">
        <fgColor rgb="FFFFFFCC"/>
        <bgColor indexed="64"/>
      </patternFill>
    </fill>
  </fills>
  <borders count="3">
    <border>
      <left/>
      <right/>
      <top/>
      <bottom/>
      <diagonal/>
    </border>
    <border>
      <left/>
      <right/>
      <top/>
      <bottom style="medium">
        <color rgb="FF1F4E79"/>
      </bottom>
      <diagonal/>
    </border>
    <border>
      <left style="thin">
        <color rgb="FFBFBFBF"/>
      </left>
      <right style="thin">
        <color rgb="FFBFBFBF"/>
      </right>
      <top style="thin">
        <color rgb="FFBFBFBF"/>
      </top>
      <bottom style="thin">
        <color rgb="FFBFBFBF"/>
      </bottom>
      <diagonal/>
    </border>
  </borders>
  <cellStyleXfs count="3">
    <xf numFmtId="0" fontId="0" fillId="0" borderId="0"/>
    <xf numFmtId="43" fontId="1" fillId="0" borderId="0" applyFont="0" applyFill="0" applyBorder="0" applyAlignment="0" applyProtection="0"/>
    <xf numFmtId="0" fontId="3" fillId="0" borderId="0" applyNumberFormat="0" applyFill="0" applyBorder="0" applyAlignment="0" applyProtection="0"/>
  </cellStyleXfs>
  <cellXfs count="26">
    <xf numFmtId="0" fontId="0" fillId="0" borderId="0" xfId="0"/>
    <xf numFmtId="164" fontId="0" fillId="0" borderId="0" xfId="1" applyNumberFormat="1" applyFont="1"/>
    <xf numFmtId="165" fontId="0" fillId="0" borderId="0" xfId="0" applyNumberFormat="1"/>
    <xf numFmtId="166" fontId="0" fillId="0" borderId="0" xfId="1" applyNumberFormat="1" applyFont="1"/>
    <xf numFmtId="0" fontId="2" fillId="0" borderId="0" xfId="0" applyFont="1"/>
    <xf numFmtId="0" fontId="5" fillId="0" borderId="0" xfId="0" applyFont="1"/>
    <xf numFmtId="0" fontId="8" fillId="0" borderId="0" xfId="0" applyFont="1"/>
    <xf numFmtId="0" fontId="0" fillId="0" borderId="0" xfId="0" applyFont="1"/>
    <xf numFmtId="0" fontId="9" fillId="0" borderId="0" xfId="0" applyFont="1" applyAlignment="1">
      <alignment vertical="center"/>
    </xf>
    <xf numFmtId="0" fontId="5" fillId="0" borderId="0" xfId="0" applyFont="1" applyAlignment="1">
      <alignment vertical="center"/>
    </xf>
    <xf numFmtId="0" fontId="0" fillId="2" borderId="0" xfId="0" applyFont="1" applyFill="1"/>
    <xf numFmtId="0" fontId="11" fillId="2" borderId="0" xfId="0" applyFont="1" applyFill="1" applyAlignment="1">
      <alignment horizontal="left" vertical="center" indent="1"/>
    </xf>
    <xf numFmtId="0" fontId="0" fillId="0" borderId="1" xfId="0" applyFont="1" applyBorder="1"/>
    <xf numFmtId="0" fontId="12" fillId="0" borderId="1" xfId="0" applyFont="1" applyBorder="1" applyAlignment="1">
      <alignment vertical="center"/>
    </xf>
    <xf numFmtId="0" fontId="10" fillId="0" borderId="0" xfId="0" applyFont="1" applyAlignment="1">
      <alignment vertical="center"/>
    </xf>
    <xf numFmtId="0" fontId="7" fillId="0" borderId="0" xfId="0" applyFont="1" applyAlignment="1">
      <alignment vertical="center"/>
    </xf>
    <xf numFmtId="49" fontId="4" fillId="3" borderId="2" xfId="0" applyNumberFormat="1" applyFont="1" applyFill="1" applyBorder="1" applyAlignment="1">
      <alignment horizontal="center"/>
    </xf>
    <xf numFmtId="167" fontId="4" fillId="3" borderId="2" xfId="0" applyNumberFormat="1" applyFont="1" applyFill="1" applyBorder="1" applyAlignment="1">
      <alignment horizontal="center"/>
    </xf>
    <xf numFmtId="0" fontId="0" fillId="0" borderId="0" xfId="0" applyFont="1" applyAlignment="1">
      <alignment vertical="top" wrapText="1"/>
    </xf>
    <xf numFmtId="0" fontId="13" fillId="0" borderId="0" xfId="2" applyFont="1"/>
    <xf numFmtId="0" fontId="14" fillId="0" borderId="0" xfId="0" applyFont="1"/>
    <xf numFmtId="167" fontId="0" fillId="0" borderId="0" xfId="0" applyNumberFormat="1"/>
    <xf numFmtId="0" fontId="15" fillId="0" borderId="0" xfId="0" applyFont="1"/>
    <xf numFmtId="0" fontId="16" fillId="0" borderId="0" xfId="0" applyFont="1"/>
    <xf numFmtId="49" fontId="6" fillId="0" borderId="0" xfId="0" applyNumberFormat="1" applyFont="1" applyAlignment="1">
      <alignment vertical="top"/>
    </xf>
    <xf numFmtId="0" fontId="5" fillId="0" borderId="0" xfId="0" applyFont="1" applyAlignment="1">
      <alignment wrapText="1"/>
    </xf>
  </cellXfs>
  <cellStyles count="3">
    <cellStyle name="Comma" xfId="1" builtinId="3"/>
    <cellStyle name="Hyperlink" xfId="2" builtinId="8"/>
    <cellStyle name="Normal" xfId="0" builtinId="0"/>
  </cellStyles>
  <dxfs count="2">
    <dxf>
      <numFmt numFmtId="167" formatCode="dd/mmm/yyyy"/>
    </dxf>
    <dxf>
      <numFmt numFmtId="167" formatCode="dd/mmm/yyyy"/>
    </dxf>
  </dxfs>
  <tableStyles count="0" defaultTableStyle="TableStyleMedium2" defaultPivotStyle="PivotStyleLight16"/>
  <colors>
    <mruColors>
      <color rgb="FFFFF7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hyperlink" Target="#MASTER!C19"/><Relationship Id="rId1" Type="http://schemas.openxmlformats.org/officeDocument/2006/relationships/hyperlink" Target="#MASTER!C14"/></Relationships>
</file>

<file path=xl/drawings/_rels/drawing2.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2</xdr:col>
      <xdr:colOff>50800</xdr:colOff>
      <xdr:row>13</xdr:row>
      <xdr:rowOff>58420</xdr:rowOff>
    </xdr:from>
    <xdr:to>
      <xdr:col>2</xdr:col>
      <xdr:colOff>2882900</xdr:colOff>
      <xdr:row>14</xdr:row>
      <xdr:rowOff>215900</xdr:rowOff>
    </xdr:to>
    <xdr:sp macro="" textlink="">
      <xdr:nvSpPr>
        <xdr:cNvPr id="5" name="btn_tech">
          <a:hlinkClick xmlns:r="http://schemas.openxmlformats.org/officeDocument/2006/relationships" r:id="rId1"/>
          <a:extLst>
            <a:ext uri="{FF2B5EF4-FFF2-40B4-BE49-F238E27FC236}">
              <a16:creationId xmlns:a16="http://schemas.microsoft.com/office/drawing/2014/main" id="{A92E23F4-112B-7926-2BB6-D9CA7EF65054}"/>
            </a:ext>
          </a:extLst>
        </xdr:cNvPr>
        <xdr:cNvSpPr/>
      </xdr:nvSpPr>
      <xdr:spPr>
        <a:xfrm>
          <a:off x="5781040" y="3807460"/>
          <a:ext cx="2832100" cy="4318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400" b="1">
              <a:solidFill>
                <a:srgbClr val="FFFFFF"/>
              </a:solidFill>
            </a:rPr>
            <a:t>1. Pull Prices &amp; Charts</a:t>
          </a:r>
        </a:p>
      </xdr:txBody>
    </xdr:sp>
    <xdr:clientData/>
  </xdr:twoCellAnchor>
  <xdr:twoCellAnchor editAs="oneCell">
    <xdr:from>
      <xdr:col>2</xdr:col>
      <xdr:colOff>50800</xdr:colOff>
      <xdr:row>18</xdr:row>
      <xdr:rowOff>58420</xdr:rowOff>
    </xdr:from>
    <xdr:to>
      <xdr:col>2</xdr:col>
      <xdr:colOff>2882900</xdr:colOff>
      <xdr:row>19</xdr:row>
      <xdr:rowOff>215900</xdr:rowOff>
    </xdr:to>
    <xdr:sp macro="" textlink="">
      <xdr:nvSpPr>
        <xdr:cNvPr id="6" name="btn_ai">
          <a:hlinkClick xmlns:r="http://schemas.openxmlformats.org/officeDocument/2006/relationships" r:id="rId2"/>
          <a:extLst>
            <a:ext uri="{FF2B5EF4-FFF2-40B4-BE49-F238E27FC236}">
              <a16:creationId xmlns:a16="http://schemas.microsoft.com/office/drawing/2014/main" id="{697F659E-F4AD-A79D-FB86-8B09BCFB9FB0}"/>
            </a:ext>
          </a:extLst>
        </xdr:cNvPr>
        <xdr:cNvSpPr/>
      </xdr:nvSpPr>
      <xdr:spPr>
        <a:xfrm>
          <a:off x="5781040" y="5255260"/>
          <a:ext cx="2832100" cy="4318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400" b="1">
              <a:solidFill>
                <a:srgbClr val="FFFFFF"/>
              </a:solidFill>
            </a:rPr>
            <a:t>2. Get AI Report (PDF + HTML)</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11</xdr:col>
      <xdr:colOff>92977</xdr:colOff>
      <xdr:row>40</xdr:row>
      <xdr:rowOff>109742</xdr:rowOff>
    </xdr:to>
    <xdr:pic>
      <xdr:nvPicPr>
        <xdr:cNvPr id="2" name="DailyChart">
          <a:extLst>
            <a:ext uri="{FF2B5EF4-FFF2-40B4-BE49-F238E27FC236}">
              <a16:creationId xmlns:a16="http://schemas.microsoft.com/office/drawing/2014/main" id="{7DB1116B-A95A-4F95-AF54-799F7C49E894}"/>
            </a:ext>
          </a:extLst>
        </xdr:cNvPr>
        <xdr:cNvPicPr>
          <a:picLocks noChangeAspect="1"/>
        </xdr:cNvPicPr>
      </xdr:nvPicPr>
      <xdr:blipFill>
        <a:blip xmlns:r="http://schemas.openxmlformats.org/officeDocument/2006/relationships" r:embed="rId1"/>
        <a:stretch>
          <a:fillRect/>
        </a:stretch>
      </xdr:blipFill>
      <xdr:spPr>
        <a:xfrm>
          <a:off x="0" y="365760"/>
          <a:ext cx="6798577" cy="7059182"/>
        </a:xfrm>
        <a:prstGeom prst="rect">
          <a:avLst/>
        </a:prstGeom>
      </xdr:spPr>
    </xdr:pic>
    <xdr:clientData/>
  </xdr:twoCellAnchor>
  <xdr:twoCellAnchor editAs="oneCell">
    <xdr:from>
      <xdr:col>11</xdr:col>
      <xdr:colOff>0</xdr:colOff>
      <xdr:row>2</xdr:row>
      <xdr:rowOff>0</xdr:rowOff>
    </xdr:from>
    <xdr:to>
      <xdr:col>22</xdr:col>
      <xdr:colOff>198134</xdr:colOff>
      <xdr:row>40</xdr:row>
      <xdr:rowOff>109742</xdr:rowOff>
    </xdr:to>
    <xdr:pic>
      <xdr:nvPicPr>
        <xdr:cNvPr id="3" name="WeeklyChart">
          <a:extLst>
            <a:ext uri="{FF2B5EF4-FFF2-40B4-BE49-F238E27FC236}">
              <a16:creationId xmlns:a16="http://schemas.microsoft.com/office/drawing/2014/main" id="{2AC22A5B-7F0B-4C86-A871-ACD293AF5A36}"/>
            </a:ext>
          </a:extLst>
        </xdr:cNvPr>
        <xdr:cNvPicPr>
          <a:picLocks noChangeAspect="1"/>
        </xdr:cNvPicPr>
      </xdr:nvPicPr>
      <xdr:blipFill>
        <a:blip xmlns:r="http://schemas.openxmlformats.org/officeDocument/2006/relationships" r:embed="rId2"/>
        <a:stretch>
          <a:fillRect/>
        </a:stretch>
      </xdr:blipFill>
      <xdr:spPr>
        <a:xfrm>
          <a:off x="6705600" y="365760"/>
          <a:ext cx="6903734" cy="705918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760136-C1B5-4315-954C-D24EE91920AF}" name="Table24" displayName="Table24" ref="A2:R127" totalsRowShown="0">
  <autoFilter ref="A2:R127" xr:uid="{FB303DC0-3D79-4261-91B6-0B3B92F08A0B}"/>
  <tableColumns count="18">
    <tableColumn id="1" xr3:uid="{3E3FEFD5-14F1-4BF5-846F-7E6FAD3E83C7}" name="DATE" dataDxfId="1"/>
    <tableColumn id="2" xr3:uid="{EA961AF1-9467-45B9-B935-8A526F5635D7}" name="OPEN"/>
    <tableColumn id="3" xr3:uid="{5915172C-6692-4278-AEF3-46CB211F3AEC}" name="HIGH"/>
    <tableColumn id="4" xr3:uid="{986803D9-F464-46AE-9071-8E439D361E42}" name="LOW"/>
    <tableColumn id="5" xr3:uid="{F1691A9B-FAC4-4DBC-BBFE-EF7A202D6A80}" name="CLOSE"/>
    <tableColumn id="6" xr3:uid="{FA172972-221A-4D78-B644-30A9C95CB3BF}" name="VOLUME"/>
    <tableColumn id="7" xr3:uid="{ED0BE374-9246-45E1-AF82-3BC0447442D5}" name="EMA_12"/>
    <tableColumn id="8" xr3:uid="{0D608A89-631A-4626-A65D-52087C09C61D}" name="EMA_26"/>
    <tableColumn id="9" xr3:uid="{802762B5-C21A-4BE5-9210-9CF24E789A8E}" name="RSI_14"/>
    <tableColumn id="10" xr3:uid="{8E1A3B70-453C-4BE5-9F16-5CFD5B4DE3C0}" name="ROC_14"/>
    <tableColumn id="11" xr3:uid="{3039EF26-9F0E-4D0D-B8E3-46BA7F8208E5}" name="MACD_12_26"/>
    <tableColumn id="12" xr3:uid="{E357249B-69C4-4454-95FA-25C230787B25}" name="MACD_SIGNAL_9"/>
    <tableColumn id="13" xr3:uid="{926387C7-EF20-4704-9318-90294B0AF224}" name="BB_UPPER_20_2"/>
    <tableColumn id="14" xr3:uid="{AF5C2E45-17B4-4A98-AF2B-29DC125C6BAD}" name="BB_MIDDLE_20"/>
    <tableColumn id="15" xr3:uid="{8AA8391A-C262-49A9-A223-82E1F04A846D}" name="BB_LOWER_20_2"/>
    <tableColumn id="16" xr3:uid="{FFA123C3-A56D-4B66-87E3-99B8F3BA8267}" name="STOCH_K_14"/>
    <tableColumn id="17" xr3:uid="{C38E9B13-E6B2-4675-8E66-85CE16847E33}" name="STOCH_D_3"/>
    <tableColumn id="18" xr3:uid="{26F71DEE-8EE3-4DC5-A83F-2B0227C3E45C}" name="WILLIAMS_R_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9C87E8-BAD9-4D8C-B879-466377C55DA3}" name="Table25" displayName="Table25" ref="A2:R159" totalsRowShown="0">
  <autoFilter ref="A2:R159" xr:uid="{F0C88F59-2AFB-4B5D-BC7D-12C95E7050EB}"/>
  <tableColumns count="18">
    <tableColumn id="1" xr3:uid="{1EE8981E-AB74-4D4F-93A8-71D71AE4A364}" name="DATE" dataDxfId="0"/>
    <tableColumn id="2" xr3:uid="{08EF6665-AC52-475F-BB6F-A55E6905A5A3}" name="OPEN"/>
    <tableColumn id="3" xr3:uid="{E5E4B427-A54E-48DF-93AF-AB775A96C32B}" name="HIGH"/>
    <tableColumn id="4" xr3:uid="{637FF558-E1FB-4CB1-8E7E-7E5973C171C8}" name="LOW"/>
    <tableColumn id="5" xr3:uid="{B579D079-4E30-4BFF-85CE-86A5DA93399D}" name="CLOSE"/>
    <tableColumn id="6" xr3:uid="{66F0C9A2-8C95-4C29-A48B-4C7DA2832B86}" name="VOLUME"/>
    <tableColumn id="7" xr3:uid="{AD920C96-FCA9-4926-ADA2-65AA8D32B25D}" name="EMA_12"/>
    <tableColumn id="8" xr3:uid="{2C1E0075-B999-4CE1-A523-014A95A6BD02}" name="EMA_26"/>
    <tableColumn id="9" xr3:uid="{2E962EDB-83B4-41C6-997F-907070E2C777}" name="RSI_14"/>
    <tableColumn id="10" xr3:uid="{2D99F1F9-01C2-4DD6-B0AE-1E531E3207D3}" name="ROC_14"/>
    <tableColumn id="11" xr3:uid="{A2440903-37B2-4795-BE03-C716ED50714E}" name="MACD_12_26"/>
    <tableColumn id="12" xr3:uid="{6C344C83-49F8-46D4-A191-B9EFEACF9376}" name="MACD_SIGNAL_9"/>
    <tableColumn id="13" xr3:uid="{A0358969-D724-4224-94D4-9C8398A1BF45}" name="BB_UPPER_20_2"/>
    <tableColumn id="14" xr3:uid="{0DAC8529-62E4-431B-91B7-F26C5660D4BE}" name="BB_MIDDLE_20"/>
    <tableColumn id="15" xr3:uid="{3040E910-61E1-4374-BB47-95B3B364F8DB}" name="BB_LOWER_20_2"/>
    <tableColumn id="16" xr3:uid="{C3245EF1-AF73-4AE0-8778-F461638C440D}" name="STOCH_K_14"/>
    <tableColumn id="17" xr3:uid="{26E983B4-AABC-4B2F-BA0A-303B878BDF31}" name="STOCH_D_3"/>
    <tableColumn id="18" xr3:uid="{0D6F7878-7B14-46F1-AB7D-60E83F473383}" name="WILLIAMS_R_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C9C9D73-18BC-4703-85D5-9E3765795B96}">
  <we:reference id="wa200008175" version="1.0.0.0" store="en-IN" storeType="OMEX"/>
  <we:alternateReferences>
    <we:reference id="WA200008175" version="1.0.0.0" store="WA200008175" storeType="OMEX"/>
  </we:alternateReferences>
  <we:properties>
    <we:property name="main.py" value="&quot;\&quot;\&quot;\&quot;Technical Analysis Reports from Excel with xlwings Lite.\n\n1. Pull Prices &amp; Charts: daily prices from the TIGZIG Yahoo Finance API, weekly bars built from\n   them, indicators computed in pandas, and charts drawn with matplotlib onto the CHARTS sheet.\n2. Get AI Report: sends the symbol and dates to the TIGZIG Technical Analysis API, where an LLM\n   reads the charts and indicators and writes the report. Returns PDF and HTML links.\nBoth APIs are open (no key). They allow requests from xlwings Lite (CORS origin addin.xlwings.org).\n\&quot;\&quot;\&quot;\nimport datetime as dt\nimport json\nfrom typing import Any, Optional, Tuple\nfrom urllib.parse import quote\n\nimport matplotlib.pyplot as plt\nimport numpy as np\nimport pandas as pd\nimport xlwings as xw\nfrom pyodide.http import pyfetch\nfrom xlwings import script\n\nCONTROL = \&quot;MASTER\&quot;\nSYMBOL_CELL = \&quot;C7\&quot;\nDATE_CELLS = {\&quot;daily_start\&quot;: \&quot;C8\&quot;, \&quot;daily_end\&quot;: \&quot;C9\&quot;, \&quot;weekly_start\&quot;: \&quot;C10\&quot;, \&quot;weekly_end\&quot;: \&quot;C11\&quot;}\nMODEL_CELL = \&quot;C12\&quot;         # report model; empty = the API default (Claude Sonnet 5.5)\nSTATUS_CELL = \&quot;A22\&quot;\nLINK_ROW = 24              # A24 PDF link, A25 HTML link, A26:A27 the raw URLs\nPRICES_API = \&quot;https://yfin-h.tigzig.com/get-all-prices/\&quot;\nREPORT_API = \&quot;https://ta.tigzig.com/v1/technical-analysis\&quot;\n\nBLUE, ORANGE, GREY = \&quot;#1F4E79\&quot;, \&quot;#E67E22\&quot;, \&quot;#7F7F7F\&quot;\nRED = \&quot;#C00000\&quot;\n\n\n# -------------------------\n# Small helpers\n# -------------------------\ndef set_status(book: xw.Book, text: str, ok: bool):\n    cell = book.sheets[CONTROL][STATUS_CELL]\n    cell.value = text\n    cell.font.bold = True\n    cell.font.size = 12 if ok else 14\n    cell.font.color = BLUE if ok else RED\n\n\ndef to_date(value: Any) -&gt; Optional[dt.date]:\n    \&quot;\&quot;\&quot;Excel date, serial number or 'YYYY-MM-DD' text -&gt; date. Empty -&gt; None.\&quot;\&quot;\&quot;\n    if value is None or value == \&quot;\&quot;:\n        return None\n    if isinstance(value, dt.datetime):\n        return value.date()\n    if isinstance(value, dt.date):\n        return value\n    if isinstance(value, (int, float)):\n        return dt.date(1899, 12, 30) + dt.timedelta(days=int(value))\n    return dt.date.fromisoformat(str(value).strip()[:10])\n\n\ndef read_inputs(book: xw.Book) -&gt; Tuple[str, dict]:\n    \&quot;\&quot;\&quot;Symbol and the four dates. Empty dates: daily = last 6 months, weekly = last 3 years, ending today.\&quot;\&quot;\&quot;\n    c = book.sheets[CONTROL]\n    symbol = str(c[SYMBOL_CELL].value or \&quot;\&quot;).strip().upper()\n    raw = {k: to_date(c[a].value) for k, a in DATE_CELLS.items()}\n    today = dt.date.today()\n    daily_end = raw[\&quot;daily_end\&quot;] or today\n    weekly_end = raw[\&quot;weekly_end\&quot;] or today\n    daily_start = raw[\&quot;daily_start\&quot;] or daily_end - dt.timedelta(days=182)\n    weekly_start = raw[\&quot;weekly_start\&quot;] or weekly_end - dt.timedelta(days=3 * 365)\n    if daily_start &gt;= daily_end or weekly_start &gt;= weekly_end:\n        raise ValueError(\&quot;each start date must be before its end date\&quot;)\n    return symbol, {\&quot;daily_start\&quot;: daily_start, \&quot;daily_end\&quot;: daily_end,\n                    \&quot;weekly_start\&quot;: weekly_start, \&quot;weekly_end\&quot;: weekly_end}\n\n\ndef replace_sheet(book: xw.Book, name: str, after: xw.Sheet) -&gt; xw.Sheet:\n    for sheet in book.sheets:\n        if sheet.name == name:\n            sheet.delete()\n    return book.sheets.add(name=name, after=after)\n\n\n# -------------------------\n# Prices\n# -------------------------\nasync def get_prices(symbol: str, start: dt.date, end: dt.date) -&gt; pd.DataFrame:\n    url = f\&quot;{PRICES_API}?tickers={quote(symbol)}&amp;start_date={start}&amp;end_date={end}\&quot;\n    r = await pyfetch(url)\n    text = await r.text()\n    if not r.ok:\n        try:\n            err = json.loads(text).get(\&quot;error\&quot;, {})\n            text = err.get(\&quot;message\&quot;, text) if isinstance(err, dict) else str(err)\n        except ValueError:\n            pass\n        raise RuntimeError(f\&quot;price API HTTP {r.status}: {text[:300]}\&quot;)\n    data = json.loads(text)\n    if isinstance(data, dict) and data.get(\&quot;error\&quot;):\n        raise RuntimeError(f\&quot;price API: {data['error']}\&quot;)\n    rows = [dict(v[symbol], Date=day) for day, v in data.items() if isinstance(v, dict) and symbol in v]\n    if not rows:\n        raise RuntimeError(f\&quot;no prices for {symbol} between {start} and {end}. Check the Yahoo Finance symbol.\&quot;)\n    df = pd.DataFrame(rows)\n    df[\&quot;Date\&quot;] = pd.to_datetime(df[\&quot;Date\&quot;])\n    df = df.sort_values(\&quot;Date\&quot;).reset_index(drop=True)\n    return df[[\&quot;Date\&quot;, \&quot;Open\&quot;, \&quot;High\&quot;, \&quot;Low\&quot;, \&quot;Close\&quot;, \&quot;Volume\&quot;]]\n\n\ndef weekly_bars(daily: pd.DataFrame) -&gt; pd.DataFrame:\n    \&quot;\&quot;\&quot;Weeks ending Friday: first open, highest high, lowest low, last close, total volume.\&quot;\&quot;\&quot;\n    w = daily.resample(\&quot;W-FRI\&quot;, on=\&quot;Date\&quot;).agg(\n        {\&quot;Open\&quot;: \&quot;first\&quot;, \&quot;High\&quot;: \&quot;max\&quot;, \&quot;Low\&quot;: \&quot;min\&quot;, \&quot;Close\&quot;: \&quot;last\&quot;, \&quot;Volume\&quot;: \&quot;sum\&quot;})\n    return w.dropna().reset_index()\n\n\n# -------------------------\n# Indicators (plain pandas, standard definitions)\n# -------------------------\ndef add_indicators(df: pd.DataFrame) -&gt; pd.DataFrame:\n    out = df.copy()\n    close, high, low = out[\&quot;Close\&quot;], out[\&quot;High\&quot;], out[\&quot;Low\&quot;]\n    out[\&quot;EMA_12\&quot;] = close.ewm(span=12).mean()\n    out[\&quot;EMA_26\&quot;] = close.ewm(span=26).mean()\n    delta = close.diff()\n    gain = delta.clip(lower=0).ewm(alpha=1 / 14).mean()\n    loss = (-delta.clip(upper=0)).ewm(alpha=1 / 14).mean()\n    out[\&quot;RSI_14\&quot;] = 100 - 100 / (1 + gain / loss)\n    out[\&quot;ROC_14\&quot;] = close.pct_change(14) * 100\n    out[\&quot;MACD_12_26\&quot;] = out[\&quot;EMA_12\&quot;] - out[\&quot;EMA_26\&quot;]\n    out[\&quot;MACD_SIGNAL_9\&quot;] = out[\&quot;MACD_12_26\&quot;].ewm(span=9).mean()\n    mid, sd = close.rolling(20).mean(), close.rolling(20).std()\n    out[\&quot;BB_UPPER_20_2\&quot;], out[\&quot;BB_MIDDLE_20\&quot;], out[\&quot;BB_LOWER_20_2\&quot;] = mid + 2 * sd, mid, mid - 2 * sd\n    hh, ll = high.rolling(14).max(), low.rolling(14).min()\n    out[\&quot;STOCH_K_14\&quot;] = (close - ll) / (hh - ll) * 100\n    out[\&quot;STOCH_D_3\&quot;] = out[\&quot;STOCH_K_14\&quot;].rolling(3).mean()\n    out[\&quot;WILLIAMS_R_14\&quot;] = (hh - close) / (hh - ll) * -100\n    return out\n\n\n# -------------------------\n# Charts\n# -------------------------\ndef make_chart(df: pd.DataFrame, symbol: str, frequency: str):\n    \&quot;\&quot;\&quot;Price with EMAs and Bollinger Bands, MACD, RSI and ROC. Blue / orange, no red-green pairs.\&quot;\&quot;\&quot;\n    fig, (ax1, ax2, ax3) = plt.subplots(3, 1, figsize=(8, 8), height_ratios=[2, 1, 1], sharex=True)\n    d = df[\&quot;Date\&quot;]\n    width = max((d.iloc[-1] - d.iloc[0]).days / len(df) * 0.8, 0.5)\n    ax1.plot(d, df[\&quot;Close\&quot;], color=\&quot;black\&quot;, lw=1.4, label=\&quot;Close\&quot;)\n    ax1.plot(d, df[\&quot;BB_UPPER_20_2\&quot;], color=GREY, ls=\&quot;--\&quot;, lw=0.9, label=\&quot;BB upper / lower\&quot;)\n    ax1.plot(d, df[\&quot;BB_LOWER_20_2\&quot;], color=GREY, ls=\&quot;--\&quot;, lw=0.9)\n    ax1.plot(d, df[\&quot;BB_MIDDLE_20\&quot;], color=GREY, ls=\&quot;:\&quot;, lw=0.9, label=\&quot;BB middle\&quot;)\n    ax1.plot(d, df[\&quot;EMA_12\&quot;], color=BLUE, lw=1.8, label=\&quot;EMA 12\&quot;)\n    ax1.plot(d, df[\&quot;EMA_26\&quot;], color=ORANGE, lw=1.8, label=\&quot;EMA 26\&quot;)\n    vol = ax1.twinx()\n    up = df[\&quot;Close\&quot;].diff().fillna(0) &gt;= 0\n    vol.bar(d, df[\&quot;Volume\&quot;], width=width, color=np.where(up, \&quot;#9DC3E6\&quot;, \&quot;#F5CBA7\&quot;), alpha=0.6)\n    vol.set_ylim(0, df[\&quot;Volume\&quot;].max() * 4 if df[\&quot;Volume\&quot;].max() &gt; 0 else 1)\n    vol.set_yticks([])\n    ax1.set_title(f\&quot;{symbol} - price, EMAs and Bollinger Bands ({frequency})\&quot;, fontsize=12, weight=\&quot;bold\&quot;)\n    ax1.legend(loc=\&quot;upper left\&quot;, fontsize=8)\n    hist = df[\&quot;MACD_12_26\&quot;] - df[\&quot;MACD_SIGNAL_9\&quot;]\n    ax2.bar(d, hist, width=width, color=np.where(hist &gt;= 0, \&quot;#9DC3E6\&quot;, \&quot;#F5CBA7\&quot;))\n    ax2.plot(d, df[\&quot;MACD_12_26\&quot;], color=BLUE, lw=1.3, label=\&quot;MACD\&quot;)\n    ax2.plot(d, df[\&quot;MACD_SIGNAL_9\&quot;], color=ORANGE, lw=1.3, label=\&quot;Signal\&quot;)\n    ax2.axhline(0, color=GREY, lw=0.7)\n    ax2.set_title(f\&quot;MACD (12, 26, 9) - {frequency}\&quot;, fontsize=10, weight=\&quot;bold\&quot;)\n    ax2.legend(loc=\&quot;upper left\&quot;, fontsize=8)\n    ax3.plot(d, df[\&quot;RSI_14\&quot;], color=BLUE, lw=1.3, label=\&quot;RSI 14\&quot;)\n    for level in (30, 70):\n        ax3.axhline(level, color=GREY, ls=\&quot;--\&quot;, lw=0.7)\n    ax3.set_ylim(0, 100)\n    roc = ax3.twinx()\n    roc.plot(d, df[\&quot;ROC_14\&quot;], color=ORANGE, lw=1.1, label=\&quot;ROC 14\&quot;)\n    roc.axhline(0, color=GREY, lw=0.5)\n    ax3.set_title(f\&quot;RSI and ROC - {frequency}\&quot;, fontsize=10, weight=\&quot;bold\&quot;)\n    h1, l1 = ax3.get_legend_handles_labels()\n    h2, l2 = roc.get_legend_handles_labels()\n    ax3.legend(h1 + h2, l1 + l2, loc=\&quot;upper left\&quot;, fontsize=8)\n    for ax in (ax1, ax2, ax3):\n        ax.grid(True, alpha=0.2)\n    fig.autofmt_xdate()\n    fig.subplots_adjust(left=0.1, right=0.9, top=0.95, bottom=0.1, hspace=0.35)\n    return fig\n\n\ndef write_prices(book: xw.Book, name: str, after: xw.Sheet, df: pd.DataFrame, title: str) -&gt; xw.Sheet:\n    sh = replace_sheet(book, name, after)\n    sh[\&quot;A1\&quot;].value = title\n    sh[\&quot;A1\&quot;].font.bold = True\n    out = df.copy()\n    out.columns = [c.upper() for c in out.columns]\n    sh[\&quot;A2\&quot;].options(index=False).value = out\n    sh.tables.add(source=sh[\&quot;A2\&quot;].resize(len(out) + 1, out.shape[1]))\n    sh[\&quot;A3\&quot;].resize(len(out), 1).number_format = \&quot;dd-mmm-yyyy\&quot;\n    return sh\n\n\n@script(name=\&quot;1. Pull Prices &amp; Charts\&quot;, button=\&quot;[btn_tech]MASTER!C14\&quot;)\nasync def create_technicals(book: xw.Book):\n    \&quot;\&quot;\&quot;Daily and weekly prices, indicators and charts, all computed inside Excel.\&quot;\&quot;\&quot;\n    try:\n        symbol, d = read_inputs(book)\n    except ValueError as e:\n        set_status(book, f\&quot;\u274c {e}. Dates are in C8:C11 (empty = defaults).\&quot;, ok=False)\n        return\n    if not symbol:\n        set_status(book, f\&quot;\u274c Type a Yahoo Finance symbol in {SYMBOL_CELL}, for example ^NSEI or AAPL.\&quot;, ok=False)\n        return\n    print(f\&quot;\u25b6 {symbol}: daily {d['daily_start']} to {d['daily_end']}, weekly {d['weekly_start']} to {d['weekly_end']}\&quot;)\n    set_status(book, f\&quot;\u23f3 Pulling prices for {symbol} ...\&quot;, ok=True)\n    await book.flush()\n    try:\n        daily = add_indicators(await get_prices(symbol, d[\&quot;daily_start\&quot;], d[\&quot;daily_end\&quot;]))\n        weekly = add_indicators(weekly_bars(await get_prices(symbol, d[\&quot;weekly_start\&quot;], d[\&quot;weekly_end\&quot;])))\n    except Exception as e:\n        print(f\&quot;\u274c {e}\&quot;)\n        set_status(book, f\&quot;\u274c {e}\&quot;, ok=False)\n        return\n    control = book.sheets[CONTROL]\n    fmt = \&quot;%d %b %Y\&quot;\n    ds = write_prices(book, \&quot;PRICES_DAILY\&quot;, control, daily,\n                      f\&quot;Daily prices and indicators: {symbol}, {d['daily_start']:{fmt}} to {d['daily_end']:{fmt}}\&quot;)\n    ws = write_prices(book, \&quot;PRICES_WEEKLY\&quot;, ds, weekly,\n                      f\&quot;Weekly prices and indicators (weeks ending Friday): {symbol}, \&quot;\n                      f\&quot;{d['weekly_start']:{fmt}} to {d['weekly_end']:{fmt}}\&quot;)\n    charts = replace_sheet(book, \&quot;CHARTS\&quot;, ws)\n    charts[\&quot;A1\&quot;].value = f\&quot;{symbol}: daily (left) and weekly (right)\&quot;\n    charts[\&quot;A1\&quot;].font.bold = True\n    for df, freq, anchor in ((daily, \&quot;Daily\&quot;, \&quot;A3\&quot;), (weekly, \&quot;Weekly\&quot;, \&quot;L3\&quot;)):\n        fig = make_chart(df, symbol, freq)\n        charts.pictures.add(fig, name=f\&quot;{freq}Chart\&quot;, update=True, anchor=charts[anchor])\n        plt.close(fig)\n    msg = (f\&quot;\u2705 {symbol}: {len(daily)} daily and {len(weekly)} weekly rows, indicators and 2 charts. \&quot;\n           f\&quot;See PRICES_DAILY, PRICES_WEEKLY and CHARTS.\&quot;)\n    print(msg)\n    set_status(book, msg, ok=True)\n    charts.activate()\n\n\n@script(name=\&quot;2. Get AI Report (PDF + HTML)\&quot;, button=\&quot;[btn_ai]MASTER!C19\&quot;)\nasync def get_ai_report(book: xw.Book):\n    \&quot;\&quot;\&quot;Ask the TIGZIG Technical Analysis API for an AI-written report and show the links.\&quot;\&quot;\&quot;\n    try:\n        symbol, d = read_inputs(book)\n    except ValueError as e:\n        set_status(book, f\&quot;\u274c {e}. Dates are in C8:C11 (empty = defaults).\&quot;, ok=False)\n        return\n    if not symbol:\n        set_status(book, f\&quot;\u274c Type a Yahoo Finance symbol in {SYMBOL_CELL}, for example ^NSEI or AAPL.\&quot;, ok=False)\n        return\n    c = book.sheets[CONTROL]\n    c[f\&quot;A{LINK_ROW}\&quot;].resize(4, 1).clear_contents()\n    set_status(book, f\&quot;\u23f3 Writing the report for {symbol}. This takes about a minute ...\&quot;, ok=True)\n    await book.flush()\n    payload = {\&quot;ticker\&quot;: symbol,\n               \&quot;daily_start_date\&quot;: str(d[\&quot;daily_start\&quot;]), \&quot;daily_end_date\&quot;: str(d[\&quot;daily_end\&quot;]),\n               \&quot;weekly_start_date\&quot;: str(d[\&quot;weekly_start\&quot;]), \&quot;weekly_end_date\&quot;: str(d[\&quot;weekly_end\&quot;])}\n    model = str(c[MODEL_CELL].value or \&quot;\&quot;).strip()\n    if model:\n        payload[\&quot;model\&quot;] = model\n    print(f\&quot;\u25b6 POST {REPORT_API} {payload}\&quot;)\n    r = await pyfetch(REPORT_API, method=\&quot;POST\&quot;, headers={\&quot;Content-Type\&quot;: \&quot;application/json\&quot;},\n                      body=json.dumps(payload))\n    text = await r.text()\n    if not r.ok:\n        try:\n            body = json.loads(text)\n            detail = body.get(\&quot;detail\&quot;) or body.get(\&quot;error\&quot;) or body\n            if isinstance(detail, dict):\n                detail = detail.get(\&quot;message\&quot;) or json.dumps(detail)\n        except ValueError:\n            detail = text\n        hint = \&quot; The API allows 20 reports a day per IP address.\&quot; if r.status == 429 else \&quot;\&quot;\n        set_status(book, f\&quot;\u274c Report API HTTP {r.status}: {str(detail)[:300]}{hint}\&quot;, ok=False)\n        return\n    links = json.loads(text)\n    pdf, html = links.get(\&quot;pdf_url\&quot;, \&quot;\&quot;), links.get(\&quot;html_url\&quot;, \&quot;\&quot;)\n    c[f\&quot;A{LINK_ROW}\&quot;].value = [[f'=HYPERLINK(\&quot;{pdf}\&quot;, \&quot;Open PDF report\&quot;)'],\n                               [f'=HYPERLINK(\&quot;{html}\&quot;, \&quot;Open HTML report\&quot;)'], [pdf], [html]]\n    msg = f\&quot;\u2705 Report ready for {symbol} ({model or 'default model'}). Click the links below (PDF and HTML).\&quot;\n    print(msg, pdf, html)\n    set_status(book, msg, ok=True)\n&quot;"/>
    <we:property name="pyodideVersion" value="&quot;314.0.1&quot;"/>
    <we:property name="addinVersion" value="&quot;1.0.0.0-18&quot;"/>
    <we:property name="requirements.txt" value="&quot;# Versions are automatically pinned in\n# requirements-pinned.txt\nxlwings  # required\npyodide-http  # required\npandas\nmatplotlib\n&quot;"/>
    <we:property name="xlwingsSettingsWorkbook" value="&quot;{\&quot;startupBehavior\&quot;:\&quot;taskpane\&quot;,\&quot;workbookMode\&quot;:\&quot;developer\&quot;,\&quot;appModeShowOutput\&quot;:false,\&quot;usePinnedRequirements\&quot;:true,\&quot;pyodideVersion\&quot;:\&quot;314.0.1\&qu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CDA77-80BF-45E8-B40D-7A3203C016BC}">
  <dimension ref="A1:B18"/>
  <sheetViews>
    <sheetView tabSelected="1" workbookViewId="0"/>
  </sheetViews>
  <sheetFormatPr defaultRowHeight="14.4" x14ac:dyDescent="0.3"/>
  <cols>
    <col min="1" max="1" width="26.77734375" customWidth="1"/>
    <col min="2" max="2" width="110.77734375" customWidth="1"/>
  </cols>
  <sheetData>
    <row r="1" spans="1:2" ht="21" x14ac:dyDescent="0.4">
      <c r="A1" s="22" t="s">
        <v>43</v>
      </c>
    </row>
    <row r="2" spans="1:2" ht="15.6" x14ac:dyDescent="0.3">
      <c r="A2" s="5" t="s">
        <v>44</v>
      </c>
    </row>
    <row r="4" spans="1:2" ht="17.399999999999999" x14ac:dyDescent="0.35">
      <c r="A4" s="23" t="s">
        <v>45</v>
      </c>
    </row>
    <row r="5" spans="1:2" ht="46.8" x14ac:dyDescent="0.3">
      <c r="A5" s="24" t="s">
        <v>46</v>
      </c>
      <c r="B5" s="25" t="s">
        <v>47</v>
      </c>
    </row>
    <row r="6" spans="1:2" ht="62.4" x14ac:dyDescent="0.3">
      <c r="A6" s="24" t="s">
        <v>48</v>
      </c>
      <c r="B6" s="25" t="s">
        <v>49</v>
      </c>
    </row>
    <row r="7" spans="1:2" ht="62.4" x14ac:dyDescent="0.3">
      <c r="A7" s="24" t="s">
        <v>50</v>
      </c>
      <c r="B7" s="25" t="s">
        <v>51</v>
      </c>
    </row>
    <row r="9" spans="1:2" ht="17.399999999999999" x14ac:dyDescent="0.35">
      <c r="A9" s="23" t="s">
        <v>52</v>
      </c>
    </row>
    <row r="10" spans="1:2" ht="15.6" x14ac:dyDescent="0.3">
      <c r="A10" s="24" t="s">
        <v>53</v>
      </c>
      <c r="B10" s="25" t="s">
        <v>54</v>
      </c>
    </row>
    <row r="11" spans="1:2" ht="15.6" x14ac:dyDescent="0.3">
      <c r="A11" s="24" t="s">
        <v>55</v>
      </c>
      <c r="B11" s="25" t="s">
        <v>56</v>
      </c>
    </row>
    <row r="12" spans="1:2" ht="15.6" x14ac:dyDescent="0.3">
      <c r="A12" s="24" t="s">
        <v>57</v>
      </c>
      <c r="B12" s="25" t="s">
        <v>58</v>
      </c>
    </row>
    <row r="14" spans="1:2" ht="17.399999999999999" x14ac:dyDescent="0.35">
      <c r="A14" s="23" t="s">
        <v>59</v>
      </c>
    </row>
    <row r="15" spans="1:2" ht="15.6" x14ac:dyDescent="0.3">
      <c r="A15" s="24" t="s">
        <v>60</v>
      </c>
      <c r="B15" s="25" t="s">
        <v>61</v>
      </c>
    </row>
    <row r="16" spans="1:2" ht="15.6" x14ac:dyDescent="0.3">
      <c r="A16" s="24" t="s">
        <v>62</v>
      </c>
      <c r="B16" s="25" t="s">
        <v>63</v>
      </c>
    </row>
    <row r="17" spans="1:2" ht="15.6" x14ac:dyDescent="0.3">
      <c r="A17" s="24" t="s">
        <v>64</v>
      </c>
      <c r="B17" s="25" t="s">
        <v>65</v>
      </c>
    </row>
    <row r="18" spans="1:2" ht="15.6" x14ac:dyDescent="0.3">
      <c r="A18" s="24" t="s">
        <v>66</v>
      </c>
      <c r="B18" s="25" t="s">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6A4B-320A-42EA-A6D1-971DCCD6EE86}">
  <dimension ref="A1:Z2995"/>
  <sheetViews>
    <sheetView showGridLines="0" zoomScale="110" zoomScaleNormal="110" workbookViewId="0"/>
  </sheetViews>
  <sheetFormatPr defaultRowHeight="14.4" x14ac:dyDescent="0.3"/>
  <cols>
    <col min="1" max="1" width="80.77734375" customWidth="1"/>
    <col min="2" max="2" width="2.77734375" style="2" customWidth="1"/>
    <col min="3" max="3" width="42.77734375" style="1" customWidth="1"/>
    <col min="4" max="4" width="17.77734375" style="1" customWidth="1"/>
    <col min="5" max="5" width="16.109375" style="1" bestFit="1" customWidth="1"/>
    <col min="6" max="7" width="13.21875" style="1" customWidth="1"/>
    <col min="8" max="8" width="13.21875" customWidth="1"/>
    <col min="9" max="9" width="18.5546875" customWidth="1"/>
    <col min="10" max="10" width="9.88671875" style="1" bestFit="1" customWidth="1"/>
    <col min="11" max="11" width="9.77734375" style="1" bestFit="1" customWidth="1"/>
    <col min="12" max="12" width="9.33203125" style="1" customWidth="1"/>
    <col min="13" max="13" width="13.44140625" style="3" customWidth="1"/>
    <col min="14" max="14" width="16.77734375" style="3" customWidth="1"/>
    <col min="15" max="15" width="20.77734375" style="1" customWidth="1"/>
    <col min="16" max="16" width="21.5546875" style="1" customWidth="1"/>
    <col min="17" max="17" width="21.6640625" style="1" customWidth="1"/>
    <col min="18" max="18" width="21.21875" style="3" customWidth="1"/>
    <col min="19" max="19" width="12.21875" style="3" customWidth="1"/>
    <col min="20" max="20" width="13.44140625" style="3" bestFit="1" customWidth="1"/>
    <col min="21" max="21" width="13" style="3" customWidth="1"/>
  </cols>
  <sheetData>
    <row r="1" spans="1:26" ht="31.95" customHeight="1" x14ac:dyDescent="0.3">
      <c r="A1" s="8" t="s">
        <v>13</v>
      </c>
      <c r="B1" s="7"/>
      <c r="C1" s="7"/>
      <c r="D1" s="7"/>
      <c r="E1" s="7"/>
      <c r="F1" s="7"/>
      <c r="G1" s="7"/>
      <c r="H1" s="7"/>
      <c r="I1" s="7"/>
      <c r="J1" s="7"/>
      <c r="K1" s="7"/>
      <c r="L1" s="7"/>
      <c r="M1" s="7"/>
      <c r="N1" s="7"/>
      <c r="O1" s="7"/>
      <c r="P1" s="7"/>
      <c r="Q1" s="7"/>
      <c r="R1" s="7"/>
      <c r="S1" s="7"/>
      <c r="T1" s="7"/>
      <c r="U1" s="7"/>
      <c r="V1" s="7"/>
      <c r="W1" s="7"/>
      <c r="X1" s="7"/>
      <c r="Y1" s="7"/>
      <c r="Z1" s="7"/>
    </row>
    <row r="2" spans="1:26" ht="22.05" customHeight="1" x14ac:dyDescent="0.3">
      <c r="A2" s="9" t="s">
        <v>14</v>
      </c>
      <c r="B2" s="7"/>
      <c r="C2" s="7"/>
      <c r="D2" s="7"/>
      <c r="E2" s="7"/>
      <c r="F2" s="7"/>
      <c r="G2" s="7"/>
      <c r="H2" s="7"/>
      <c r="I2" s="7"/>
      <c r="J2" s="7"/>
      <c r="K2" s="7"/>
      <c r="L2" s="7"/>
      <c r="M2" s="7"/>
      <c r="N2" s="7"/>
      <c r="O2" s="7"/>
      <c r="P2" s="7"/>
      <c r="Q2" s="7"/>
      <c r="R2" s="7"/>
      <c r="S2" s="7"/>
      <c r="T2" s="7"/>
      <c r="U2" s="7"/>
      <c r="V2" s="7"/>
      <c r="W2" s="7"/>
      <c r="X2" s="7"/>
      <c r="Y2" s="7"/>
      <c r="Z2" s="7"/>
    </row>
    <row r="3" spans="1:26" ht="7.95" customHeight="1" x14ac:dyDescent="0.3">
      <c r="A3" s="7"/>
      <c r="B3" s="7"/>
      <c r="C3" s="7"/>
      <c r="D3" s="7"/>
      <c r="E3" s="7"/>
      <c r="F3" s="7"/>
      <c r="G3" s="7"/>
      <c r="H3" s="7"/>
      <c r="I3" s="7"/>
      <c r="J3" s="7"/>
      <c r="K3" s="7"/>
      <c r="L3" s="7"/>
      <c r="M3" s="7"/>
      <c r="N3" s="7"/>
      <c r="O3" s="7"/>
      <c r="P3" s="7"/>
      <c r="Q3" s="7"/>
      <c r="R3" s="7"/>
      <c r="S3" s="7"/>
      <c r="T3" s="7"/>
      <c r="U3" s="7"/>
      <c r="V3" s="7"/>
      <c r="W3" s="7"/>
      <c r="X3" s="7"/>
      <c r="Y3" s="7"/>
      <c r="Z3" s="7"/>
    </row>
    <row r="4" spans="1:26" ht="28.05" customHeight="1" x14ac:dyDescent="0.3">
      <c r="A4" s="11" t="s">
        <v>15</v>
      </c>
      <c r="B4" s="10"/>
      <c r="C4" s="10"/>
      <c r="D4" s="7"/>
      <c r="E4" s="7"/>
      <c r="F4" s="7"/>
      <c r="G4" s="7"/>
      <c r="H4" s="7"/>
      <c r="I4" s="7"/>
      <c r="J4" s="7"/>
      <c r="K4" s="7"/>
      <c r="L4" s="7"/>
      <c r="M4" s="7"/>
      <c r="N4" s="7"/>
      <c r="O4" s="7"/>
      <c r="P4" s="7"/>
      <c r="Q4" s="7"/>
      <c r="R4" s="7"/>
      <c r="S4" s="7"/>
      <c r="T4" s="7"/>
      <c r="U4" s="7"/>
      <c r="V4" s="7"/>
      <c r="W4" s="7"/>
      <c r="X4" s="7"/>
      <c r="Y4" s="7"/>
      <c r="Z4" s="7"/>
    </row>
    <row r="5" spans="1:26" ht="22.05" customHeight="1" x14ac:dyDescent="0.3">
      <c r="A5" s="7"/>
      <c r="B5" s="7"/>
      <c r="C5" s="7"/>
      <c r="D5" s="7"/>
      <c r="E5" s="7"/>
      <c r="F5" s="7"/>
      <c r="G5" s="7"/>
      <c r="H5" s="7"/>
      <c r="I5" s="7"/>
      <c r="J5" s="7"/>
      <c r="K5" s="7"/>
      <c r="L5" s="7"/>
      <c r="M5" s="7"/>
      <c r="N5" s="7"/>
      <c r="O5" s="7"/>
      <c r="P5" s="7"/>
      <c r="Q5" s="7"/>
      <c r="R5" s="7"/>
      <c r="S5" s="7"/>
      <c r="T5" s="7"/>
      <c r="U5" s="7"/>
      <c r="V5" s="7"/>
      <c r="W5" s="7"/>
      <c r="X5" s="7"/>
      <c r="Y5" s="7"/>
      <c r="Z5" s="7"/>
    </row>
    <row r="6" spans="1:26" ht="28.05" customHeight="1" thickBot="1" x14ac:dyDescent="0.35">
      <c r="A6" s="13" t="s">
        <v>16</v>
      </c>
      <c r="B6" s="12"/>
      <c r="C6" s="12"/>
      <c r="D6" s="7"/>
      <c r="E6" s="7"/>
      <c r="F6" s="7"/>
      <c r="G6" s="7"/>
      <c r="H6" s="7"/>
      <c r="I6" s="7"/>
      <c r="J6" s="7"/>
      <c r="K6" s="7"/>
      <c r="L6" s="7"/>
      <c r="M6" s="7"/>
      <c r="N6" s="7"/>
      <c r="O6" s="7"/>
      <c r="P6" s="7"/>
      <c r="Q6" s="7"/>
      <c r="R6" s="7"/>
      <c r="S6" s="7"/>
      <c r="T6" s="7"/>
      <c r="U6" s="7"/>
      <c r="V6" s="7"/>
      <c r="W6" s="7"/>
      <c r="X6" s="7"/>
      <c r="Y6" s="7"/>
      <c r="Z6" s="7"/>
    </row>
    <row r="7" spans="1:26" s="4" customFormat="1" ht="22.05" customHeight="1" x14ac:dyDescent="0.35">
      <c r="A7" s="14" t="s">
        <v>17</v>
      </c>
      <c r="B7" s="7"/>
      <c r="C7" s="16" t="s">
        <v>12</v>
      </c>
      <c r="D7" s="7"/>
      <c r="E7" s="7"/>
      <c r="F7" s="7"/>
      <c r="G7" s="7"/>
      <c r="H7" s="7"/>
      <c r="I7" s="7"/>
      <c r="J7" s="7"/>
      <c r="K7" s="7"/>
      <c r="L7" s="7"/>
      <c r="M7" s="7"/>
      <c r="N7" s="7"/>
      <c r="O7" s="7"/>
      <c r="P7" s="7"/>
      <c r="Q7" s="7"/>
      <c r="R7" s="7"/>
      <c r="S7" s="7"/>
      <c r="T7" s="7"/>
      <c r="U7" s="7"/>
      <c r="V7" s="7"/>
      <c r="W7" s="7"/>
      <c r="X7" s="7"/>
      <c r="Y7" s="7"/>
      <c r="Z7" s="7"/>
    </row>
    <row r="8" spans="1:26" ht="22.05" customHeight="1" x14ac:dyDescent="0.35">
      <c r="A8" s="14" t="s">
        <v>18</v>
      </c>
      <c r="B8" s="7"/>
      <c r="C8" s="17"/>
      <c r="D8" s="7"/>
      <c r="E8" s="7"/>
      <c r="F8" s="7"/>
      <c r="G8" s="7"/>
      <c r="H8" s="7"/>
      <c r="I8" s="7"/>
      <c r="J8" s="7"/>
      <c r="K8" s="7"/>
      <c r="L8" s="7"/>
      <c r="M8" s="7"/>
      <c r="N8" s="7"/>
      <c r="O8" s="7"/>
      <c r="P8" s="7"/>
      <c r="Q8" s="7"/>
      <c r="R8" s="7"/>
      <c r="S8" s="7"/>
      <c r="T8" s="7"/>
      <c r="U8" s="7"/>
      <c r="V8" s="7"/>
      <c r="W8" s="7"/>
      <c r="X8" s="7"/>
      <c r="Y8" s="7"/>
      <c r="Z8" s="7"/>
    </row>
    <row r="9" spans="1:26" ht="22.05" customHeight="1" x14ac:dyDescent="0.35">
      <c r="A9" s="14" t="s">
        <v>19</v>
      </c>
      <c r="B9" s="7"/>
      <c r="C9" s="17"/>
      <c r="D9" s="7"/>
      <c r="E9" s="7"/>
      <c r="F9" s="7"/>
      <c r="G9" s="7"/>
      <c r="H9" s="7"/>
      <c r="I9" s="7"/>
      <c r="J9" s="7"/>
      <c r="K9" s="7"/>
      <c r="L9" s="7"/>
      <c r="M9" s="7"/>
      <c r="N9" s="7"/>
      <c r="O9" s="7"/>
      <c r="P9" s="7"/>
      <c r="Q9" s="7"/>
      <c r="R9" s="7"/>
      <c r="S9" s="7"/>
      <c r="T9" s="7"/>
      <c r="U9" s="7"/>
      <c r="V9" s="7"/>
      <c r="W9" s="7"/>
      <c r="X9" s="7"/>
      <c r="Y9" s="7"/>
      <c r="Z9" s="7"/>
    </row>
    <row r="10" spans="1:26" ht="22.05" customHeight="1" x14ac:dyDescent="0.35">
      <c r="A10" s="14" t="s">
        <v>20</v>
      </c>
      <c r="B10" s="7"/>
      <c r="C10" s="17"/>
      <c r="D10" s="7"/>
      <c r="E10" s="7"/>
      <c r="F10" s="7"/>
      <c r="G10" s="7"/>
      <c r="H10" s="7"/>
      <c r="I10" s="7"/>
      <c r="J10" s="7"/>
      <c r="K10" s="7"/>
      <c r="L10" s="7"/>
      <c r="M10" s="7"/>
      <c r="N10" s="7"/>
      <c r="O10" s="7"/>
      <c r="P10" s="7"/>
      <c r="Q10" s="7"/>
      <c r="R10" s="7"/>
      <c r="S10" s="7"/>
      <c r="T10" s="7"/>
      <c r="U10" s="7"/>
      <c r="V10" s="7"/>
      <c r="W10" s="7"/>
      <c r="X10" s="7"/>
      <c r="Y10" s="7"/>
      <c r="Z10" s="7"/>
    </row>
    <row r="11" spans="1:26" ht="22.05" customHeight="1" x14ac:dyDescent="0.35">
      <c r="A11" s="14" t="s">
        <v>21</v>
      </c>
      <c r="B11" s="7"/>
      <c r="C11" s="17"/>
      <c r="D11" s="7"/>
      <c r="E11" s="7"/>
      <c r="F11" s="7"/>
      <c r="G11" s="7"/>
      <c r="H11" s="7"/>
      <c r="I11" s="7"/>
      <c r="J11" s="7"/>
      <c r="K11" s="7"/>
      <c r="L11" s="7"/>
      <c r="M11" s="7"/>
      <c r="N11" s="7"/>
      <c r="O11" s="7"/>
      <c r="P11" s="7"/>
      <c r="Q11" s="7"/>
      <c r="R11" s="7"/>
      <c r="S11" s="7"/>
      <c r="T11" s="7"/>
      <c r="U11" s="7"/>
      <c r="V11" s="7"/>
      <c r="W11" s="7"/>
      <c r="X11" s="7"/>
      <c r="Y11" s="7"/>
      <c r="Z11" s="7"/>
    </row>
    <row r="12" spans="1:26" ht="22.05" customHeight="1" x14ac:dyDescent="0.35">
      <c r="A12" s="14" t="s">
        <v>22</v>
      </c>
      <c r="B12" s="7"/>
      <c r="C12" s="16" t="s">
        <v>31</v>
      </c>
      <c r="D12" s="7"/>
      <c r="E12" s="7"/>
      <c r="F12" s="7"/>
      <c r="G12" s="7"/>
      <c r="H12" s="7"/>
      <c r="I12" s="7"/>
      <c r="J12" s="7"/>
      <c r="K12" s="7"/>
      <c r="L12" s="7"/>
      <c r="M12" s="7"/>
      <c r="N12" s="7"/>
      <c r="O12" s="7"/>
      <c r="P12" s="7"/>
      <c r="Q12" s="7"/>
      <c r="R12" s="7"/>
      <c r="S12" s="7"/>
      <c r="T12" s="7"/>
      <c r="U12" s="7"/>
      <c r="V12" s="7"/>
      <c r="W12" s="7"/>
      <c r="X12" s="7"/>
      <c r="Y12" s="7"/>
      <c r="Z12" s="7"/>
    </row>
    <row r="13" spans="1:26" ht="28.05" customHeight="1" thickBot="1" x14ac:dyDescent="0.35">
      <c r="A13" s="13" t="s">
        <v>23</v>
      </c>
      <c r="B13" s="12"/>
      <c r="C13" s="12"/>
      <c r="D13" s="7"/>
      <c r="E13" s="7"/>
      <c r="F13" s="7"/>
      <c r="G13" s="7"/>
      <c r="H13" s="7"/>
      <c r="I13" s="7"/>
      <c r="J13" s="7"/>
      <c r="K13" s="7"/>
      <c r="L13" s="7"/>
      <c r="M13" s="7"/>
      <c r="N13" s="7"/>
      <c r="O13" s="7"/>
      <c r="P13" s="7"/>
      <c r="Q13" s="7"/>
      <c r="R13" s="7"/>
      <c r="S13" s="7"/>
      <c r="T13" s="7"/>
      <c r="U13" s="7"/>
      <c r="V13" s="7"/>
      <c r="W13" s="7"/>
      <c r="X13" s="7"/>
      <c r="Y13" s="7"/>
      <c r="Z13" s="7"/>
    </row>
    <row r="14" spans="1:26" ht="22.05" customHeight="1" x14ac:dyDescent="0.3">
      <c r="A14" s="14" t="s">
        <v>24</v>
      </c>
      <c r="B14" s="7"/>
      <c r="C14" s="7"/>
      <c r="D14" s="7"/>
      <c r="E14" s="7"/>
      <c r="F14" s="7"/>
      <c r="G14" s="7"/>
      <c r="H14" s="7"/>
      <c r="I14" s="7"/>
      <c r="J14" s="7"/>
      <c r="K14" s="7"/>
      <c r="L14" s="7"/>
      <c r="M14" s="7"/>
      <c r="N14" s="7"/>
      <c r="O14" s="7"/>
      <c r="P14" s="7"/>
      <c r="Q14" s="7"/>
      <c r="R14" s="7"/>
      <c r="S14" s="7"/>
      <c r="T14" s="7"/>
      <c r="U14" s="7"/>
      <c r="V14" s="7"/>
      <c r="W14" s="7"/>
      <c r="X14" s="7"/>
      <c r="Y14" s="7"/>
      <c r="Z14" s="7"/>
    </row>
    <row r="15" spans="1:26" ht="22.05" customHeight="1" x14ac:dyDescent="0.3">
      <c r="A15" s="14" t="s">
        <v>25</v>
      </c>
      <c r="B15" s="7"/>
      <c r="C15" s="7"/>
      <c r="D15" s="7"/>
      <c r="E15" s="7"/>
      <c r="F15" s="7"/>
      <c r="G15" s="7"/>
      <c r="H15" s="7"/>
      <c r="I15" s="7"/>
      <c r="J15" s="7"/>
      <c r="K15" s="7"/>
      <c r="L15" s="7"/>
      <c r="M15" s="7"/>
      <c r="N15" s="7"/>
      <c r="O15" s="7"/>
      <c r="P15" s="7"/>
      <c r="Q15" s="7"/>
      <c r="R15" s="7"/>
      <c r="S15" s="7"/>
      <c r="T15" s="7"/>
      <c r="U15" s="7"/>
      <c r="V15" s="7"/>
      <c r="W15" s="7"/>
      <c r="X15" s="7"/>
      <c r="Y15" s="7"/>
      <c r="Z15" s="7"/>
    </row>
    <row r="16" spans="1:26" ht="22.05" customHeight="1" x14ac:dyDescent="0.3">
      <c r="A16" s="15" t="s">
        <v>26</v>
      </c>
      <c r="B16" s="7"/>
      <c r="C16" s="7"/>
      <c r="D16" s="7"/>
      <c r="E16" s="7"/>
      <c r="F16" s="7"/>
      <c r="G16" s="7"/>
      <c r="H16" s="7"/>
      <c r="I16" s="7"/>
      <c r="J16" s="7"/>
      <c r="K16" s="7"/>
      <c r="L16" s="7"/>
      <c r="M16" s="7"/>
      <c r="N16" s="7"/>
      <c r="O16" s="7"/>
      <c r="P16" s="7"/>
      <c r="Q16" s="7"/>
      <c r="R16" s="7"/>
      <c r="S16" s="7"/>
      <c r="T16" s="7"/>
      <c r="U16" s="7"/>
      <c r="V16" s="7"/>
      <c r="W16" s="7"/>
      <c r="X16" s="7"/>
      <c r="Y16" s="7"/>
      <c r="Z16" s="7"/>
    </row>
    <row r="17" spans="1:26" ht="22.05" customHeight="1" x14ac:dyDescent="0.3">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28.05" customHeight="1" thickBot="1" x14ac:dyDescent="0.35">
      <c r="A18" s="13" t="s">
        <v>27</v>
      </c>
      <c r="B18" s="12"/>
      <c r="C18" s="12"/>
      <c r="D18" s="7"/>
      <c r="E18" s="7"/>
      <c r="F18" s="7"/>
      <c r="G18" s="7"/>
      <c r="H18" s="7"/>
      <c r="I18" s="7"/>
      <c r="J18" s="7"/>
      <c r="K18" s="7"/>
      <c r="L18" s="7"/>
      <c r="M18" s="7"/>
      <c r="N18" s="7"/>
      <c r="O18" s="7"/>
      <c r="P18" s="7"/>
      <c r="Q18" s="7"/>
      <c r="R18" s="7"/>
      <c r="S18" s="7"/>
      <c r="T18" s="7"/>
      <c r="U18" s="7"/>
      <c r="V18" s="7"/>
      <c r="W18" s="7"/>
      <c r="X18" s="7"/>
      <c r="Y18" s="7"/>
      <c r="Z18" s="7"/>
    </row>
    <row r="19" spans="1:26" ht="22.05" customHeight="1" x14ac:dyDescent="0.3">
      <c r="A19" s="14" t="s">
        <v>28</v>
      </c>
      <c r="B19" s="7"/>
      <c r="C19" s="7"/>
      <c r="D19" s="7"/>
      <c r="E19" s="7"/>
      <c r="F19" s="7"/>
      <c r="G19" s="7"/>
      <c r="H19" s="7"/>
      <c r="I19" s="7"/>
      <c r="J19" s="7"/>
      <c r="K19" s="7"/>
      <c r="L19" s="7"/>
      <c r="M19" s="7"/>
      <c r="N19" s="7"/>
      <c r="O19" s="7"/>
      <c r="P19" s="7"/>
      <c r="Q19" s="7"/>
      <c r="R19" s="7"/>
      <c r="S19" s="7"/>
      <c r="T19" s="7"/>
      <c r="U19" s="7"/>
      <c r="V19" s="7"/>
      <c r="W19" s="7"/>
      <c r="X19" s="7"/>
      <c r="Y19" s="7"/>
      <c r="Z19" s="7"/>
    </row>
    <row r="20" spans="1:26" ht="22.05" customHeight="1" x14ac:dyDescent="0.3">
      <c r="A20" s="14" t="s">
        <v>29</v>
      </c>
      <c r="B20" s="7"/>
      <c r="C20" s="7"/>
      <c r="D20" s="7"/>
      <c r="E20" s="7"/>
      <c r="F20" s="7"/>
      <c r="G20" s="7"/>
      <c r="H20" s="7"/>
      <c r="I20" s="7"/>
      <c r="J20" s="7"/>
      <c r="K20" s="7"/>
      <c r="L20" s="7"/>
      <c r="M20" s="7"/>
      <c r="N20" s="7"/>
      <c r="O20" s="7"/>
      <c r="P20" s="7"/>
      <c r="Q20" s="7"/>
      <c r="R20" s="7"/>
      <c r="S20" s="7"/>
      <c r="T20" s="7"/>
      <c r="U20" s="7"/>
      <c r="V20" s="7"/>
      <c r="W20" s="7"/>
      <c r="X20" s="7"/>
      <c r="Y20" s="7"/>
      <c r="Z20" s="7"/>
    </row>
    <row r="21" spans="1:26" ht="22.05" customHeight="1" x14ac:dyDescent="0.3">
      <c r="A21" s="15" t="s">
        <v>30</v>
      </c>
      <c r="B21" s="7"/>
      <c r="C21" s="7"/>
      <c r="D21" s="7"/>
      <c r="E21" s="7"/>
      <c r="F21" s="7"/>
      <c r="G21" s="7"/>
      <c r="H21" s="7"/>
      <c r="I21" s="7"/>
      <c r="J21" s="7"/>
      <c r="K21" s="7"/>
      <c r="L21" s="7"/>
      <c r="M21" s="7"/>
      <c r="N21" s="7"/>
      <c r="O21" s="7"/>
      <c r="P21" s="7"/>
      <c r="Q21" s="7"/>
      <c r="R21" s="7"/>
      <c r="S21" s="7"/>
      <c r="T21" s="7"/>
      <c r="U21" s="7"/>
      <c r="V21" s="7"/>
      <c r="W21" s="7"/>
      <c r="X21" s="7"/>
      <c r="Y21" s="7"/>
      <c r="Z21" s="7"/>
    </row>
    <row r="22" spans="1:26" ht="58.05" customHeight="1" x14ac:dyDescent="0.3">
      <c r="A22" s="18"/>
      <c r="B22" s="7"/>
      <c r="C22" s="7"/>
      <c r="D22" s="7"/>
      <c r="E22" s="7"/>
      <c r="F22" s="7"/>
      <c r="G22" s="7"/>
      <c r="H22" s="7"/>
      <c r="I22" s="7"/>
      <c r="J22" s="7"/>
      <c r="K22" s="7"/>
      <c r="L22" s="7"/>
      <c r="M22" s="7"/>
      <c r="N22" s="7"/>
      <c r="O22" s="7"/>
      <c r="P22" s="7"/>
      <c r="Q22" s="7"/>
      <c r="R22" s="7"/>
      <c r="S22" s="7"/>
      <c r="T22" s="7"/>
      <c r="U22" s="7"/>
      <c r="V22" s="7"/>
      <c r="W22" s="7"/>
      <c r="X22" s="7"/>
      <c r="Y22" s="7"/>
      <c r="Z22" s="7"/>
    </row>
    <row r="23" spans="1:26" ht="22.0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22.05" customHeight="1" x14ac:dyDescent="0.35">
      <c r="A24" s="19" t="str">
        <f>HYPERLINK("https://mdtopdf.tigzig.com/static/pdfs/report_20261021_133647_3054168b.pdf", "Open PDF report")</f>
        <v>Open PDF report</v>
      </c>
      <c r="B24" s="7"/>
      <c r="C24" s="7"/>
      <c r="D24" s="7"/>
      <c r="E24" s="7"/>
      <c r="F24" s="7"/>
      <c r="G24" s="7"/>
      <c r="H24" s="7"/>
      <c r="I24" s="7"/>
      <c r="J24" s="7"/>
      <c r="K24" s="7"/>
      <c r="L24" s="7"/>
      <c r="M24" s="7"/>
      <c r="N24" s="7"/>
      <c r="O24" s="7"/>
      <c r="P24" s="7"/>
      <c r="Q24" s="7"/>
      <c r="R24" s="7"/>
      <c r="S24" s="7"/>
      <c r="T24" s="7"/>
      <c r="U24" s="7"/>
      <c r="V24" s="7"/>
      <c r="W24" s="7"/>
      <c r="X24" s="7"/>
      <c r="Y24" s="7"/>
      <c r="Z24" s="7"/>
    </row>
    <row r="25" spans="1:26" ht="22.05" customHeight="1" x14ac:dyDescent="0.35">
      <c r="A25" s="19" t="str">
        <f>HYPERLINK("https://mdtopdf.tigzig.com/static/html/report_20261021_133647_3054168b.html", "Open HTML report")</f>
        <v>Open HTML report</v>
      </c>
      <c r="B25" s="7"/>
      <c r="C25" s="7"/>
      <c r="D25" s="7"/>
      <c r="E25" s="7"/>
      <c r="F25" s="7"/>
      <c r="G25" s="7"/>
      <c r="H25" s="7"/>
      <c r="I25" s="7"/>
      <c r="J25" s="7"/>
      <c r="K25" s="7"/>
      <c r="L25" s="7"/>
      <c r="M25" s="7"/>
      <c r="N25" s="7"/>
      <c r="O25" s="7"/>
      <c r="P25" s="7"/>
      <c r="Q25" s="7"/>
      <c r="R25" s="7"/>
      <c r="S25" s="7"/>
      <c r="T25" s="7"/>
      <c r="U25" s="7"/>
      <c r="V25" s="7"/>
      <c r="W25" s="7"/>
      <c r="X25" s="7"/>
      <c r="Y25" s="7"/>
      <c r="Z25" s="7"/>
    </row>
    <row r="26" spans="1:26" ht="22.05" customHeight="1" x14ac:dyDescent="0.3">
      <c r="A26" s="20" t="s">
        <v>32</v>
      </c>
      <c r="B26" s="7"/>
      <c r="C26" s="7"/>
      <c r="D26" s="7"/>
      <c r="E26" s="7"/>
      <c r="F26" s="7"/>
      <c r="G26" s="7"/>
      <c r="H26" s="7"/>
      <c r="I26" s="7"/>
      <c r="J26" s="7"/>
      <c r="K26" s="7"/>
      <c r="L26" s="7"/>
      <c r="M26" s="7"/>
      <c r="N26" s="7"/>
      <c r="O26" s="7"/>
      <c r="P26" s="7"/>
      <c r="Q26" s="7"/>
      <c r="R26" s="7"/>
      <c r="S26" s="7"/>
      <c r="T26" s="7"/>
      <c r="U26" s="7"/>
      <c r="V26" s="7"/>
      <c r="W26" s="7"/>
      <c r="X26" s="7"/>
      <c r="Y26" s="7"/>
      <c r="Z26" s="7"/>
    </row>
    <row r="27" spans="1:26" ht="22.05" customHeight="1" x14ac:dyDescent="0.3">
      <c r="A27" s="20" t="s">
        <v>33</v>
      </c>
      <c r="B27" s="7"/>
      <c r="C27" s="7"/>
      <c r="D27" s="7"/>
      <c r="E27" s="7"/>
      <c r="F27" s="7"/>
      <c r="G27" s="7"/>
      <c r="H27" s="7"/>
      <c r="I27" s="7"/>
      <c r="J27" s="7"/>
      <c r="K27" s="7"/>
      <c r="L27" s="7"/>
      <c r="M27" s="7"/>
      <c r="N27" s="7"/>
      <c r="O27" s="7"/>
      <c r="P27" s="7"/>
      <c r="Q27" s="7"/>
      <c r="R27" s="7"/>
      <c r="S27" s="7"/>
      <c r="T27" s="7"/>
      <c r="U27" s="7"/>
      <c r="V27" s="7"/>
      <c r="W27" s="7"/>
      <c r="X27" s="7"/>
      <c r="Y27" s="7"/>
      <c r="Z27" s="7"/>
    </row>
    <row r="28" spans="1:26" ht="22.0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22.0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22.0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x14ac:dyDescent="0.3"/>
    <row r="977" customFormat="1" x14ac:dyDescent="0.3"/>
    <row r="978" customFormat="1" x14ac:dyDescent="0.3"/>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row r="1179" customFormat="1" x14ac:dyDescent="0.3"/>
    <row r="1180" customFormat="1" x14ac:dyDescent="0.3"/>
    <row r="1181" customFormat="1" x14ac:dyDescent="0.3"/>
    <row r="1182" customFormat="1" x14ac:dyDescent="0.3"/>
    <row r="1183" customFormat="1" x14ac:dyDescent="0.3"/>
    <row r="1184" customFormat="1" x14ac:dyDescent="0.3"/>
    <row r="1185" customFormat="1" x14ac:dyDescent="0.3"/>
    <row r="1186" customFormat="1" x14ac:dyDescent="0.3"/>
    <row r="1187" customFormat="1" x14ac:dyDescent="0.3"/>
    <row r="1188" customFormat="1" x14ac:dyDescent="0.3"/>
    <row r="1189" customFormat="1" x14ac:dyDescent="0.3"/>
    <row r="1190" customFormat="1" x14ac:dyDescent="0.3"/>
    <row r="1191" customFormat="1" x14ac:dyDescent="0.3"/>
    <row r="1192" customFormat="1" x14ac:dyDescent="0.3"/>
    <row r="1193" customFormat="1" x14ac:dyDescent="0.3"/>
    <row r="1194" customFormat="1" x14ac:dyDescent="0.3"/>
    <row r="1195" customFormat="1" x14ac:dyDescent="0.3"/>
    <row r="1196" customFormat="1" x14ac:dyDescent="0.3"/>
    <row r="1197" customFormat="1" x14ac:dyDescent="0.3"/>
    <row r="1198" customFormat="1" x14ac:dyDescent="0.3"/>
    <row r="1199" customFormat="1" x14ac:dyDescent="0.3"/>
    <row r="1200" customFormat="1" x14ac:dyDescent="0.3"/>
    <row r="1201" customFormat="1" x14ac:dyDescent="0.3"/>
    <row r="1202" customFormat="1" x14ac:dyDescent="0.3"/>
    <row r="1203" customFormat="1" x14ac:dyDescent="0.3"/>
    <row r="1204" customFormat="1" x14ac:dyDescent="0.3"/>
    <row r="1205" customFormat="1" x14ac:dyDescent="0.3"/>
    <row r="1206" customFormat="1" x14ac:dyDescent="0.3"/>
    <row r="1207" customFormat="1" x14ac:dyDescent="0.3"/>
    <row r="1208" customFormat="1" x14ac:dyDescent="0.3"/>
    <row r="1209" customFormat="1" x14ac:dyDescent="0.3"/>
    <row r="1210" customFormat="1" x14ac:dyDescent="0.3"/>
    <row r="1211" customFormat="1" x14ac:dyDescent="0.3"/>
    <row r="1212" customFormat="1" x14ac:dyDescent="0.3"/>
    <row r="1213" customFormat="1" x14ac:dyDescent="0.3"/>
    <row r="1214" customFormat="1" x14ac:dyDescent="0.3"/>
    <row r="1215" customFormat="1" x14ac:dyDescent="0.3"/>
    <row r="1216" customFormat="1" x14ac:dyDescent="0.3"/>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row r="1227" customFormat="1" x14ac:dyDescent="0.3"/>
    <row r="1228" customFormat="1" x14ac:dyDescent="0.3"/>
    <row r="1229" customFormat="1" x14ac:dyDescent="0.3"/>
    <row r="1230" customFormat="1" x14ac:dyDescent="0.3"/>
    <row r="1231" customFormat="1" x14ac:dyDescent="0.3"/>
    <row r="1232" customFormat="1" x14ac:dyDescent="0.3"/>
    <row r="1233" customFormat="1" x14ac:dyDescent="0.3"/>
    <row r="1234" customFormat="1" x14ac:dyDescent="0.3"/>
    <row r="1235" customFormat="1" x14ac:dyDescent="0.3"/>
    <row r="1236" customFormat="1" x14ac:dyDescent="0.3"/>
    <row r="1237" customFormat="1" x14ac:dyDescent="0.3"/>
    <row r="1238" customFormat="1" x14ac:dyDescent="0.3"/>
    <row r="1239" customFormat="1" x14ac:dyDescent="0.3"/>
    <row r="1240" customFormat="1" x14ac:dyDescent="0.3"/>
    <row r="1241" customFormat="1" x14ac:dyDescent="0.3"/>
    <row r="1242" customFormat="1" x14ac:dyDescent="0.3"/>
    <row r="1243" customFormat="1" x14ac:dyDescent="0.3"/>
    <row r="1244" customFormat="1" x14ac:dyDescent="0.3"/>
    <row r="1245" customFormat="1" x14ac:dyDescent="0.3"/>
    <row r="1246" customFormat="1" x14ac:dyDescent="0.3"/>
    <row r="1247" customFormat="1" x14ac:dyDescent="0.3"/>
    <row r="1248" customFormat="1" x14ac:dyDescent="0.3"/>
    <row r="1249" customFormat="1" x14ac:dyDescent="0.3"/>
    <row r="1250" customFormat="1" x14ac:dyDescent="0.3"/>
    <row r="1251" customFormat="1" x14ac:dyDescent="0.3"/>
    <row r="1252" customFormat="1" x14ac:dyDescent="0.3"/>
    <row r="1253" customFormat="1" x14ac:dyDescent="0.3"/>
    <row r="1254" customFormat="1" x14ac:dyDescent="0.3"/>
    <row r="1255" customFormat="1" x14ac:dyDescent="0.3"/>
    <row r="1256" customFormat="1" x14ac:dyDescent="0.3"/>
    <row r="1257" customFormat="1" x14ac:dyDescent="0.3"/>
    <row r="1258" customFormat="1" x14ac:dyDescent="0.3"/>
    <row r="1259" customFormat="1" x14ac:dyDescent="0.3"/>
    <row r="1260" customFormat="1" x14ac:dyDescent="0.3"/>
    <row r="1261" customFormat="1" x14ac:dyDescent="0.3"/>
    <row r="1262" customFormat="1" x14ac:dyDescent="0.3"/>
    <row r="1263" customFormat="1" x14ac:dyDescent="0.3"/>
    <row r="1264" customFormat="1" x14ac:dyDescent="0.3"/>
    <row r="1265" customFormat="1" x14ac:dyDescent="0.3"/>
    <row r="1266" customFormat="1" x14ac:dyDescent="0.3"/>
    <row r="1267" customFormat="1" x14ac:dyDescent="0.3"/>
    <row r="1268" customFormat="1" x14ac:dyDescent="0.3"/>
    <row r="1269" customFormat="1" x14ac:dyDescent="0.3"/>
    <row r="1270" customFormat="1" x14ac:dyDescent="0.3"/>
    <row r="1271" customFormat="1" x14ac:dyDescent="0.3"/>
    <row r="1272" customFormat="1" x14ac:dyDescent="0.3"/>
    <row r="1273" customFormat="1" x14ac:dyDescent="0.3"/>
    <row r="1274" customFormat="1" x14ac:dyDescent="0.3"/>
    <row r="1275" customFormat="1" x14ac:dyDescent="0.3"/>
    <row r="1276" customFormat="1" x14ac:dyDescent="0.3"/>
    <row r="1277" customFormat="1" x14ac:dyDescent="0.3"/>
    <row r="1278" customFormat="1" x14ac:dyDescent="0.3"/>
    <row r="1279" customFormat="1" x14ac:dyDescent="0.3"/>
    <row r="1280" customFormat="1" x14ac:dyDescent="0.3"/>
    <row r="1281" customFormat="1" x14ac:dyDescent="0.3"/>
    <row r="1282" customFormat="1" x14ac:dyDescent="0.3"/>
    <row r="1283" customFormat="1" x14ac:dyDescent="0.3"/>
    <row r="1284" customFormat="1" x14ac:dyDescent="0.3"/>
    <row r="1285" customFormat="1" x14ac:dyDescent="0.3"/>
    <row r="1286" customFormat="1" x14ac:dyDescent="0.3"/>
    <row r="1287" customFormat="1" x14ac:dyDescent="0.3"/>
    <row r="1288" customFormat="1" x14ac:dyDescent="0.3"/>
    <row r="1289" customFormat="1" x14ac:dyDescent="0.3"/>
    <row r="1290" customFormat="1" x14ac:dyDescent="0.3"/>
    <row r="1291" customFormat="1" x14ac:dyDescent="0.3"/>
    <row r="1292" customFormat="1" x14ac:dyDescent="0.3"/>
    <row r="1293" customFormat="1" x14ac:dyDescent="0.3"/>
    <row r="1294" customFormat="1" x14ac:dyDescent="0.3"/>
    <row r="1295" customFormat="1" x14ac:dyDescent="0.3"/>
    <row r="1296" customFormat="1" x14ac:dyDescent="0.3"/>
    <row r="1297" customFormat="1" x14ac:dyDescent="0.3"/>
    <row r="1298" customFormat="1" x14ac:dyDescent="0.3"/>
    <row r="1299" customFormat="1" x14ac:dyDescent="0.3"/>
    <row r="1300" customFormat="1" x14ac:dyDescent="0.3"/>
    <row r="1301" customFormat="1" x14ac:dyDescent="0.3"/>
    <row r="1302" customFormat="1" x14ac:dyDescent="0.3"/>
    <row r="1303" customFormat="1" x14ac:dyDescent="0.3"/>
    <row r="1304" customFormat="1" x14ac:dyDescent="0.3"/>
    <row r="1305" customFormat="1" x14ac:dyDescent="0.3"/>
    <row r="1306" customFormat="1" x14ac:dyDescent="0.3"/>
    <row r="1307" customFormat="1" x14ac:dyDescent="0.3"/>
    <row r="1308" customFormat="1" x14ac:dyDescent="0.3"/>
    <row r="1309" customFormat="1" x14ac:dyDescent="0.3"/>
    <row r="1310" customFormat="1" x14ac:dyDescent="0.3"/>
    <row r="1311" customFormat="1" x14ac:dyDescent="0.3"/>
    <row r="1312" customFormat="1" x14ac:dyDescent="0.3"/>
    <row r="1313" customFormat="1" x14ac:dyDescent="0.3"/>
    <row r="1314" customFormat="1" x14ac:dyDescent="0.3"/>
    <row r="1315" customFormat="1" x14ac:dyDescent="0.3"/>
    <row r="1316" customFormat="1" x14ac:dyDescent="0.3"/>
    <row r="1317" customFormat="1" x14ac:dyDescent="0.3"/>
    <row r="1318" customFormat="1" x14ac:dyDescent="0.3"/>
    <row r="1319" customFormat="1" x14ac:dyDescent="0.3"/>
    <row r="1320" customFormat="1" x14ac:dyDescent="0.3"/>
    <row r="1321" customFormat="1" x14ac:dyDescent="0.3"/>
    <row r="1322" customFormat="1" x14ac:dyDescent="0.3"/>
    <row r="1323" customFormat="1" x14ac:dyDescent="0.3"/>
    <row r="1324" customFormat="1" x14ac:dyDescent="0.3"/>
    <row r="1325" customFormat="1" x14ac:dyDescent="0.3"/>
    <row r="1326" customFormat="1" x14ac:dyDescent="0.3"/>
    <row r="1327" customFormat="1" x14ac:dyDescent="0.3"/>
    <row r="1328" customFormat="1" x14ac:dyDescent="0.3"/>
    <row r="1329" customFormat="1" x14ac:dyDescent="0.3"/>
    <row r="1330" customFormat="1" x14ac:dyDescent="0.3"/>
    <row r="1331" customFormat="1" x14ac:dyDescent="0.3"/>
    <row r="1332" customFormat="1" x14ac:dyDescent="0.3"/>
    <row r="1333" customFormat="1" x14ac:dyDescent="0.3"/>
    <row r="1334" customFormat="1" x14ac:dyDescent="0.3"/>
    <row r="1335" customFormat="1" x14ac:dyDescent="0.3"/>
    <row r="1336" customFormat="1" x14ac:dyDescent="0.3"/>
    <row r="1337" customFormat="1" x14ac:dyDescent="0.3"/>
    <row r="1338" customFormat="1" x14ac:dyDescent="0.3"/>
    <row r="1339" customFormat="1" x14ac:dyDescent="0.3"/>
    <row r="1340" customFormat="1" x14ac:dyDescent="0.3"/>
    <row r="1341" customFormat="1" x14ac:dyDescent="0.3"/>
    <row r="1342" customFormat="1" x14ac:dyDescent="0.3"/>
    <row r="1343" customFormat="1" x14ac:dyDescent="0.3"/>
    <row r="1344" customFormat="1" x14ac:dyDescent="0.3"/>
    <row r="1345" customFormat="1" x14ac:dyDescent="0.3"/>
    <row r="1346" customFormat="1" x14ac:dyDescent="0.3"/>
    <row r="1347" customFormat="1" x14ac:dyDescent="0.3"/>
    <row r="1348" customFormat="1" x14ac:dyDescent="0.3"/>
    <row r="1349" customFormat="1" x14ac:dyDescent="0.3"/>
    <row r="1350" customFormat="1" x14ac:dyDescent="0.3"/>
    <row r="1351" customFormat="1" x14ac:dyDescent="0.3"/>
    <row r="1352" customFormat="1" x14ac:dyDescent="0.3"/>
    <row r="1353" customFormat="1" x14ac:dyDescent="0.3"/>
    <row r="1354" customFormat="1" x14ac:dyDescent="0.3"/>
    <row r="1355" customFormat="1" x14ac:dyDescent="0.3"/>
    <row r="1356" customFormat="1" x14ac:dyDescent="0.3"/>
    <row r="1357" customFormat="1" x14ac:dyDescent="0.3"/>
    <row r="1358" customFormat="1" x14ac:dyDescent="0.3"/>
    <row r="1359" customFormat="1" x14ac:dyDescent="0.3"/>
    <row r="1360" customFormat="1" x14ac:dyDescent="0.3"/>
    <row r="1361" customFormat="1" x14ac:dyDescent="0.3"/>
    <row r="1362" customFormat="1" x14ac:dyDescent="0.3"/>
    <row r="1363" customFormat="1" x14ac:dyDescent="0.3"/>
    <row r="1364" customFormat="1" x14ac:dyDescent="0.3"/>
    <row r="1365" customFormat="1" x14ac:dyDescent="0.3"/>
    <row r="1366" customFormat="1" x14ac:dyDescent="0.3"/>
    <row r="1367" customFormat="1" x14ac:dyDescent="0.3"/>
    <row r="1368" customFormat="1" x14ac:dyDescent="0.3"/>
    <row r="1369" customFormat="1" x14ac:dyDescent="0.3"/>
    <row r="1370" customFormat="1" x14ac:dyDescent="0.3"/>
    <row r="1371" customFormat="1" x14ac:dyDescent="0.3"/>
    <row r="1372" customFormat="1" x14ac:dyDescent="0.3"/>
    <row r="1373" customFormat="1" x14ac:dyDescent="0.3"/>
    <row r="1374" customFormat="1" x14ac:dyDescent="0.3"/>
    <row r="1375" customFormat="1" x14ac:dyDescent="0.3"/>
    <row r="1376" customFormat="1" x14ac:dyDescent="0.3"/>
    <row r="1377" customFormat="1" x14ac:dyDescent="0.3"/>
    <row r="1378" customFormat="1" x14ac:dyDescent="0.3"/>
    <row r="1379" customFormat="1" x14ac:dyDescent="0.3"/>
    <row r="1380" customFormat="1" x14ac:dyDescent="0.3"/>
    <row r="1381" customFormat="1" x14ac:dyDescent="0.3"/>
    <row r="1382" customFormat="1" x14ac:dyDescent="0.3"/>
    <row r="1383" customFormat="1" x14ac:dyDescent="0.3"/>
    <row r="1384" customFormat="1" x14ac:dyDescent="0.3"/>
    <row r="1385" customFormat="1" x14ac:dyDescent="0.3"/>
    <row r="1386" customFormat="1" x14ac:dyDescent="0.3"/>
    <row r="1387" customFormat="1" x14ac:dyDescent="0.3"/>
    <row r="1388" customFormat="1" x14ac:dyDescent="0.3"/>
    <row r="1389" customFormat="1" x14ac:dyDescent="0.3"/>
    <row r="1390" customFormat="1" x14ac:dyDescent="0.3"/>
    <row r="1391" customFormat="1" x14ac:dyDescent="0.3"/>
    <row r="1392" customFormat="1" x14ac:dyDescent="0.3"/>
    <row r="1393" customFormat="1" x14ac:dyDescent="0.3"/>
    <row r="1394" customFormat="1" x14ac:dyDescent="0.3"/>
    <row r="1395" customFormat="1" x14ac:dyDescent="0.3"/>
    <row r="1396" customFormat="1" x14ac:dyDescent="0.3"/>
    <row r="1397" customFormat="1" x14ac:dyDescent="0.3"/>
    <row r="1398" customFormat="1" x14ac:dyDescent="0.3"/>
    <row r="1399" customFormat="1" x14ac:dyDescent="0.3"/>
    <row r="1400" customFormat="1" x14ac:dyDescent="0.3"/>
    <row r="1401" customFormat="1" x14ac:dyDescent="0.3"/>
    <row r="1402" customFormat="1" x14ac:dyDescent="0.3"/>
    <row r="1403" customFormat="1" x14ac:dyDescent="0.3"/>
    <row r="1404" customFormat="1" x14ac:dyDescent="0.3"/>
    <row r="1405" customFormat="1" x14ac:dyDescent="0.3"/>
    <row r="1406" customFormat="1" x14ac:dyDescent="0.3"/>
    <row r="1407" customFormat="1" x14ac:dyDescent="0.3"/>
    <row r="1408" customFormat="1" x14ac:dyDescent="0.3"/>
    <row r="1409" customFormat="1" x14ac:dyDescent="0.3"/>
    <row r="1410" customFormat="1" x14ac:dyDescent="0.3"/>
    <row r="1411" customFormat="1" x14ac:dyDescent="0.3"/>
    <row r="1412" customFormat="1" x14ac:dyDescent="0.3"/>
    <row r="1413" customFormat="1" x14ac:dyDescent="0.3"/>
    <row r="1414" customFormat="1" x14ac:dyDescent="0.3"/>
    <row r="1415" customFormat="1" x14ac:dyDescent="0.3"/>
    <row r="1416" customFormat="1" x14ac:dyDescent="0.3"/>
    <row r="1417" customFormat="1" x14ac:dyDescent="0.3"/>
    <row r="1418" customFormat="1" x14ac:dyDescent="0.3"/>
    <row r="1419" customFormat="1" x14ac:dyDescent="0.3"/>
    <row r="1420" customFormat="1" x14ac:dyDescent="0.3"/>
    <row r="1421" customFormat="1" x14ac:dyDescent="0.3"/>
    <row r="1422" customFormat="1" x14ac:dyDescent="0.3"/>
    <row r="1423" customFormat="1" x14ac:dyDescent="0.3"/>
    <row r="1424" customFormat="1" x14ac:dyDescent="0.3"/>
    <row r="1425" customFormat="1" x14ac:dyDescent="0.3"/>
    <row r="1426" customFormat="1" x14ac:dyDescent="0.3"/>
    <row r="1427" customFormat="1" x14ac:dyDescent="0.3"/>
    <row r="1428" customFormat="1" x14ac:dyDescent="0.3"/>
    <row r="1429" customFormat="1" x14ac:dyDescent="0.3"/>
    <row r="1430" customFormat="1" x14ac:dyDescent="0.3"/>
    <row r="1431" customFormat="1" x14ac:dyDescent="0.3"/>
    <row r="1432" customFormat="1" x14ac:dyDescent="0.3"/>
    <row r="1433" customFormat="1" x14ac:dyDescent="0.3"/>
    <row r="1434" customFormat="1" x14ac:dyDescent="0.3"/>
    <row r="1435" customFormat="1" x14ac:dyDescent="0.3"/>
    <row r="1436" customFormat="1" x14ac:dyDescent="0.3"/>
    <row r="1437" customFormat="1" x14ac:dyDescent="0.3"/>
    <row r="1438" customFormat="1" x14ac:dyDescent="0.3"/>
    <row r="1439" customFormat="1" x14ac:dyDescent="0.3"/>
    <row r="1440" customFormat="1" x14ac:dyDescent="0.3"/>
    <row r="1441" customFormat="1" x14ac:dyDescent="0.3"/>
    <row r="1442" customFormat="1" x14ac:dyDescent="0.3"/>
    <row r="1443" customFormat="1" x14ac:dyDescent="0.3"/>
    <row r="1444" customFormat="1" x14ac:dyDescent="0.3"/>
    <row r="1445" customFormat="1" x14ac:dyDescent="0.3"/>
    <row r="1446" customFormat="1" x14ac:dyDescent="0.3"/>
    <row r="1447" customFormat="1" x14ac:dyDescent="0.3"/>
    <row r="1448" customFormat="1" x14ac:dyDescent="0.3"/>
    <row r="1449" customFormat="1" x14ac:dyDescent="0.3"/>
    <row r="1450" customFormat="1" x14ac:dyDescent="0.3"/>
    <row r="1451" customFormat="1" x14ac:dyDescent="0.3"/>
    <row r="1452" customFormat="1" x14ac:dyDescent="0.3"/>
    <row r="1453" customFormat="1" x14ac:dyDescent="0.3"/>
    <row r="1454" customFormat="1" x14ac:dyDescent="0.3"/>
    <row r="1455" customFormat="1" x14ac:dyDescent="0.3"/>
    <row r="1456" customFormat="1" x14ac:dyDescent="0.3"/>
    <row r="1457" customFormat="1" x14ac:dyDescent="0.3"/>
    <row r="1458" customFormat="1" x14ac:dyDescent="0.3"/>
    <row r="1459" customFormat="1" x14ac:dyDescent="0.3"/>
    <row r="1460" customFormat="1" x14ac:dyDescent="0.3"/>
    <row r="1461" customFormat="1" x14ac:dyDescent="0.3"/>
    <row r="1462" customFormat="1" x14ac:dyDescent="0.3"/>
    <row r="1463" customFormat="1" x14ac:dyDescent="0.3"/>
    <row r="1464" customFormat="1" x14ac:dyDescent="0.3"/>
    <row r="1465" customFormat="1" x14ac:dyDescent="0.3"/>
    <row r="1466" customFormat="1" x14ac:dyDescent="0.3"/>
    <row r="1467" customFormat="1" x14ac:dyDescent="0.3"/>
    <row r="1468" customFormat="1" x14ac:dyDescent="0.3"/>
    <row r="1469" customFormat="1" x14ac:dyDescent="0.3"/>
    <row r="1470" customFormat="1" x14ac:dyDescent="0.3"/>
    <row r="1471" customFormat="1" x14ac:dyDescent="0.3"/>
    <row r="1472" customFormat="1" x14ac:dyDescent="0.3"/>
    <row r="1473" customFormat="1" x14ac:dyDescent="0.3"/>
    <row r="1474" customFormat="1" x14ac:dyDescent="0.3"/>
    <row r="1475" customFormat="1" x14ac:dyDescent="0.3"/>
    <row r="1476" customFormat="1" x14ac:dyDescent="0.3"/>
    <row r="1477" customFormat="1" x14ac:dyDescent="0.3"/>
    <row r="1478" customFormat="1" x14ac:dyDescent="0.3"/>
    <row r="1479" customFormat="1" x14ac:dyDescent="0.3"/>
    <row r="1480" customFormat="1" x14ac:dyDescent="0.3"/>
    <row r="1481" customFormat="1" x14ac:dyDescent="0.3"/>
    <row r="1482" customFormat="1" x14ac:dyDescent="0.3"/>
    <row r="1483" customFormat="1" x14ac:dyDescent="0.3"/>
    <row r="1484" customFormat="1" x14ac:dyDescent="0.3"/>
    <row r="1485" customFormat="1" x14ac:dyDescent="0.3"/>
    <row r="1486" customFormat="1" x14ac:dyDescent="0.3"/>
    <row r="1487" customFormat="1" x14ac:dyDescent="0.3"/>
    <row r="1488" customFormat="1" x14ac:dyDescent="0.3"/>
    <row r="1489" customFormat="1" x14ac:dyDescent="0.3"/>
    <row r="1490" customFormat="1" x14ac:dyDescent="0.3"/>
    <row r="1491" customFormat="1" x14ac:dyDescent="0.3"/>
    <row r="1492" customFormat="1" x14ac:dyDescent="0.3"/>
    <row r="1493" customFormat="1" x14ac:dyDescent="0.3"/>
    <row r="1494" customFormat="1" x14ac:dyDescent="0.3"/>
    <row r="1495" customFormat="1" x14ac:dyDescent="0.3"/>
    <row r="1496" customFormat="1" x14ac:dyDescent="0.3"/>
    <row r="1497" customFormat="1" x14ac:dyDescent="0.3"/>
    <row r="1498" customFormat="1" x14ac:dyDescent="0.3"/>
    <row r="1499" customFormat="1" x14ac:dyDescent="0.3"/>
    <row r="1500" customFormat="1" x14ac:dyDescent="0.3"/>
    <row r="1501" customFormat="1" x14ac:dyDescent="0.3"/>
    <row r="1502" customFormat="1" x14ac:dyDescent="0.3"/>
    <row r="1503" customFormat="1" x14ac:dyDescent="0.3"/>
    <row r="1504" customFormat="1" x14ac:dyDescent="0.3"/>
    <row r="1505" customFormat="1" x14ac:dyDescent="0.3"/>
    <row r="1506" customFormat="1" x14ac:dyDescent="0.3"/>
    <row r="1507" customFormat="1" x14ac:dyDescent="0.3"/>
    <row r="1508" customFormat="1" x14ac:dyDescent="0.3"/>
    <row r="1509" customFormat="1" x14ac:dyDescent="0.3"/>
    <row r="1510" customFormat="1" x14ac:dyDescent="0.3"/>
    <row r="1511" customFormat="1" x14ac:dyDescent="0.3"/>
    <row r="1512" customFormat="1" x14ac:dyDescent="0.3"/>
    <row r="1513" customFormat="1" x14ac:dyDescent="0.3"/>
    <row r="1514" customFormat="1" x14ac:dyDescent="0.3"/>
    <row r="1515" customFormat="1" x14ac:dyDescent="0.3"/>
    <row r="1516" customFormat="1" x14ac:dyDescent="0.3"/>
    <row r="1517" customFormat="1" x14ac:dyDescent="0.3"/>
    <row r="1518" customFormat="1" x14ac:dyDescent="0.3"/>
    <row r="1519" customFormat="1" x14ac:dyDescent="0.3"/>
    <row r="1520" customFormat="1" x14ac:dyDescent="0.3"/>
    <row r="1521" customFormat="1" x14ac:dyDescent="0.3"/>
    <row r="1522" customFormat="1" x14ac:dyDescent="0.3"/>
    <row r="1523" customFormat="1" x14ac:dyDescent="0.3"/>
    <row r="1524" customFormat="1" x14ac:dyDescent="0.3"/>
    <row r="1525" customFormat="1" x14ac:dyDescent="0.3"/>
    <row r="1526" customFormat="1" x14ac:dyDescent="0.3"/>
    <row r="1527" customFormat="1" x14ac:dyDescent="0.3"/>
    <row r="1528" customFormat="1" x14ac:dyDescent="0.3"/>
    <row r="1529" customFormat="1" x14ac:dyDescent="0.3"/>
    <row r="1530" customFormat="1" x14ac:dyDescent="0.3"/>
    <row r="1531" customFormat="1" x14ac:dyDescent="0.3"/>
    <row r="1532" customFormat="1" x14ac:dyDescent="0.3"/>
    <row r="1533" customFormat="1" x14ac:dyDescent="0.3"/>
    <row r="1534" customFormat="1" x14ac:dyDescent="0.3"/>
    <row r="1535" customFormat="1" x14ac:dyDescent="0.3"/>
    <row r="1536" customFormat="1" x14ac:dyDescent="0.3"/>
    <row r="1537" customFormat="1" x14ac:dyDescent="0.3"/>
    <row r="1538" customFormat="1" x14ac:dyDescent="0.3"/>
    <row r="1539" customFormat="1" x14ac:dyDescent="0.3"/>
    <row r="1540" customFormat="1" x14ac:dyDescent="0.3"/>
    <row r="1541" customFormat="1" x14ac:dyDescent="0.3"/>
    <row r="1542" customFormat="1" x14ac:dyDescent="0.3"/>
    <row r="1543" customFormat="1" x14ac:dyDescent="0.3"/>
    <row r="1544" customFormat="1" x14ac:dyDescent="0.3"/>
    <row r="1545" customFormat="1" x14ac:dyDescent="0.3"/>
    <row r="1546" customFormat="1" x14ac:dyDescent="0.3"/>
    <row r="1547" customFormat="1" x14ac:dyDescent="0.3"/>
    <row r="1548" customFormat="1" x14ac:dyDescent="0.3"/>
    <row r="1549" customFormat="1" x14ac:dyDescent="0.3"/>
    <row r="1550" customFormat="1" x14ac:dyDescent="0.3"/>
    <row r="1551" customFormat="1" x14ac:dyDescent="0.3"/>
    <row r="1552" customFormat="1" x14ac:dyDescent="0.3"/>
    <row r="1553" customFormat="1" x14ac:dyDescent="0.3"/>
    <row r="1554" customFormat="1" x14ac:dyDescent="0.3"/>
    <row r="1555" customFormat="1" x14ac:dyDescent="0.3"/>
    <row r="1556" customFormat="1" x14ac:dyDescent="0.3"/>
    <row r="1557" customFormat="1" x14ac:dyDescent="0.3"/>
    <row r="1558" customFormat="1" x14ac:dyDescent="0.3"/>
    <row r="1559" customFormat="1" x14ac:dyDescent="0.3"/>
    <row r="1560" customFormat="1" x14ac:dyDescent="0.3"/>
    <row r="1561" customFormat="1" x14ac:dyDescent="0.3"/>
    <row r="1562" customFormat="1" x14ac:dyDescent="0.3"/>
    <row r="1563" customFormat="1" x14ac:dyDescent="0.3"/>
    <row r="1564" customFormat="1" x14ac:dyDescent="0.3"/>
    <row r="1565" customFormat="1" x14ac:dyDescent="0.3"/>
    <row r="1566" customFormat="1" x14ac:dyDescent="0.3"/>
    <row r="1567" customFormat="1" x14ac:dyDescent="0.3"/>
    <row r="1568" customFormat="1" x14ac:dyDescent="0.3"/>
    <row r="1569" customFormat="1" x14ac:dyDescent="0.3"/>
    <row r="1570" customFormat="1" x14ac:dyDescent="0.3"/>
    <row r="1571" customFormat="1" x14ac:dyDescent="0.3"/>
    <row r="1572" customFormat="1" x14ac:dyDescent="0.3"/>
    <row r="1573" customFormat="1" x14ac:dyDescent="0.3"/>
    <row r="1574" customFormat="1" x14ac:dyDescent="0.3"/>
    <row r="1575" customFormat="1" x14ac:dyDescent="0.3"/>
    <row r="1576" customFormat="1" x14ac:dyDescent="0.3"/>
    <row r="1577" customFormat="1" x14ac:dyDescent="0.3"/>
    <row r="1578" customFormat="1" x14ac:dyDescent="0.3"/>
    <row r="1579" customFormat="1" x14ac:dyDescent="0.3"/>
    <row r="1580" customFormat="1" x14ac:dyDescent="0.3"/>
    <row r="1581" customFormat="1" x14ac:dyDescent="0.3"/>
    <row r="1582" customFormat="1" x14ac:dyDescent="0.3"/>
    <row r="1583" customFormat="1" x14ac:dyDescent="0.3"/>
    <row r="1584" customFormat="1" x14ac:dyDescent="0.3"/>
    <row r="1585" customFormat="1" x14ac:dyDescent="0.3"/>
    <row r="1586" customFormat="1" x14ac:dyDescent="0.3"/>
    <row r="1587" customFormat="1" x14ac:dyDescent="0.3"/>
    <row r="1588" customFormat="1" x14ac:dyDescent="0.3"/>
    <row r="1589" customFormat="1" x14ac:dyDescent="0.3"/>
    <row r="1590" customFormat="1" x14ac:dyDescent="0.3"/>
    <row r="1591" customFormat="1" x14ac:dyDescent="0.3"/>
    <row r="1592" customFormat="1" x14ac:dyDescent="0.3"/>
    <row r="1593" customFormat="1" x14ac:dyDescent="0.3"/>
    <row r="1594" customFormat="1" x14ac:dyDescent="0.3"/>
    <row r="1595" customFormat="1" x14ac:dyDescent="0.3"/>
    <row r="1596" customFormat="1" x14ac:dyDescent="0.3"/>
    <row r="1597" customFormat="1" x14ac:dyDescent="0.3"/>
    <row r="1598" customFormat="1" x14ac:dyDescent="0.3"/>
    <row r="1599" customFormat="1" x14ac:dyDescent="0.3"/>
    <row r="1600" customFormat="1" x14ac:dyDescent="0.3"/>
    <row r="1601" customFormat="1" x14ac:dyDescent="0.3"/>
    <row r="1602" customFormat="1" x14ac:dyDescent="0.3"/>
    <row r="1603" customFormat="1" x14ac:dyDescent="0.3"/>
    <row r="1604" customFormat="1" x14ac:dyDescent="0.3"/>
    <row r="1605" customFormat="1" x14ac:dyDescent="0.3"/>
    <row r="1606" customFormat="1" x14ac:dyDescent="0.3"/>
    <row r="1607" customFormat="1" x14ac:dyDescent="0.3"/>
    <row r="1608" customFormat="1" x14ac:dyDescent="0.3"/>
    <row r="1609" customFormat="1" x14ac:dyDescent="0.3"/>
    <row r="1610" customFormat="1" x14ac:dyDescent="0.3"/>
    <row r="1611" customFormat="1" x14ac:dyDescent="0.3"/>
    <row r="1612" customFormat="1" x14ac:dyDescent="0.3"/>
    <row r="1613" customFormat="1" x14ac:dyDescent="0.3"/>
    <row r="1614" customFormat="1" x14ac:dyDescent="0.3"/>
    <row r="1615" customFormat="1" x14ac:dyDescent="0.3"/>
    <row r="1616" customFormat="1" x14ac:dyDescent="0.3"/>
    <row r="1617" customFormat="1" x14ac:dyDescent="0.3"/>
    <row r="1618" customFormat="1" x14ac:dyDescent="0.3"/>
    <row r="1619" customFormat="1" x14ac:dyDescent="0.3"/>
    <row r="1620" customFormat="1" x14ac:dyDescent="0.3"/>
    <row r="1621" customFormat="1" x14ac:dyDescent="0.3"/>
    <row r="1622" customFormat="1" x14ac:dyDescent="0.3"/>
    <row r="1623" customFormat="1" x14ac:dyDescent="0.3"/>
    <row r="1624" customFormat="1" x14ac:dyDescent="0.3"/>
    <row r="1625" customFormat="1" x14ac:dyDescent="0.3"/>
    <row r="1626" customFormat="1" x14ac:dyDescent="0.3"/>
    <row r="1627" customFormat="1" x14ac:dyDescent="0.3"/>
    <row r="1628" customFormat="1" x14ac:dyDescent="0.3"/>
    <row r="1629" customFormat="1" x14ac:dyDescent="0.3"/>
    <row r="1630" customFormat="1" x14ac:dyDescent="0.3"/>
    <row r="1631" customFormat="1" x14ac:dyDescent="0.3"/>
    <row r="1632" customFormat="1" x14ac:dyDescent="0.3"/>
    <row r="1633" customFormat="1" x14ac:dyDescent="0.3"/>
    <row r="1634" customFormat="1" x14ac:dyDescent="0.3"/>
    <row r="1635" customFormat="1" x14ac:dyDescent="0.3"/>
    <row r="1636" customFormat="1" x14ac:dyDescent="0.3"/>
    <row r="1637" customFormat="1" x14ac:dyDescent="0.3"/>
    <row r="1638" customFormat="1" x14ac:dyDescent="0.3"/>
    <row r="1639" customFormat="1" x14ac:dyDescent="0.3"/>
    <row r="1640" customFormat="1" x14ac:dyDescent="0.3"/>
    <row r="1641" customFormat="1" x14ac:dyDescent="0.3"/>
    <row r="1642" customFormat="1" x14ac:dyDescent="0.3"/>
    <row r="1643" customFormat="1" x14ac:dyDescent="0.3"/>
    <row r="1644" customFormat="1" x14ac:dyDescent="0.3"/>
    <row r="1645" customFormat="1" x14ac:dyDescent="0.3"/>
    <row r="1646" customFormat="1" x14ac:dyDescent="0.3"/>
    <row r="1647" customFormat="1" x14ac:dyDescent="0.3"/>
    <row r="1648" customFormat="1" x14ac:dyDescent="0.3"/>
    <row r="1649" customFormat="1" x14ac:dyDescent="0.3"/>
    <row r="1650" customFormat="1" x14ac:dyDescent="0.3"/>
    <row r="1651" customFormat="1" x14ac:dyDescent="0.3"/>
    <row r="1652" customFormat="1" x14ac:dyDescent="0.3"/>
    <row r="1653" customFormat="1" x14ac:dyDescent="0.3"/>
    <row r="1654" customFormat="1" x14ac:dyDescent="0.3"/>
    <row r="1655" customFormat="1" x14ac:dyDescent="0.3"/>
    <row r="1656" customFormat="1" x14ac:dyDescent="0.3"/>
    <row r="1657" customFormat="1" x14ac:dyDescent="0.3"/>
    <row r="1658" customFormat="1" x14ac:dyDescent="0.3"/>
    <row r="1659" customFormat="1" x14ac:dyDescent="0.3"/>
    <row r="1660" customFormat="1" x14ac:dyDescent="0.3"/>
    <row r="1661" customFormat="1" x14ac:dyDescent="0.3"/>
    <row r="1662" customFormat="1" x14ac:dyDescent="0.3"/>
    <row r="1663" customFormat="1" x14ac:dyDescent="0.3"/>
    <row r="1664" customFormat="1" x14ac:dyDescent="0.3"/>
    <row r="1665" customFormat="1" x14ac:dyDescent="0.3"/>
    <row r="1666" customFormat="1" x14ac:dyDescent="0.3"/>
    <row r="1667" customFormat="1" x14ac:dyDescent="0.3"/>
    <row r="1668" customFormat="1" x14ac:dyDescent="0.3"/>
    <row r="1669" customFormat="1" x14ac:dyDescent="0.3"/>
    <row r="1670" customFormat="1" x14ac:dyDescent="0.3"/>
    <row r="1671" customFormat="1" x14ac:dyDescent="0.3"/>
    <row r="1672" customFormat="1" x14ac:dyDescent="0.3"/>
    <row r="1673" customFormat="1" x14ac:dyDescent="0.3"/>
    <row r="1674" customFormat="1" x14ac:dyDescent="0.3"/>
    <row r="1675" customFormat="1" x14ac:dyDescent="0.3"/>
    <row r="1676" customFormat="1" x14ac:dyDescent="0.3"/>
    <row r="1677" customFormat="1" x14ac:dyDescent="0.3"/>
    <row r="1678" customFormat="1" x14ac:dyDescent="0.3"/>
    <row r="1679" customFormat="1" x14ac:dyDescent="0.3"/>
    <row r="1680" customFormat="1" x14ac:dyDescent="0.3"/>
    <row r="1681" customFormat="1" x14ac:dyDescent="0.3"/>
    <row r="1682" customFormat="1" x14ac:dyDescent="0.3"/>
    <row r="1683" customFormat="1" x14ac:dyDescent="0.3"/>
    <row r="1684" customFormat="1" x14ac:dyDescent="0.3"/>
    <row r="1685" customFormat="1" x14ac:dyDescent="0.3"/>
    <row r="1686" customFormat="1" x14ac:dyDescent="0.3"/>
    <row r="1687" customFormat="1" x14ac:dyDescent="0.3"/>
    <row r="1688" customFormat="1" x14ac:dyDescent="0.3"/>
    <row r="1689" customFormat="1" x14ac:dyDescent="0.3"/>
    <row r="1690" customFormat="1" x14ac:dyDescent="0.3"/>
    <row r="1691" customFormat="1" x14ac:dyDescent="0.3"/>
    <row r="1692" customFormat="1" x14ac:dyDescent="0.3"/>
    <row r="1693" customFormat="1" x14ac:dyDescent="0.3"/>
    <row r="1694" customFormat="1" x14ac:dyDescent="0.3"/>
    <row r="1695" customFormat="1" x14ac:dyDescent="0.3"/>
    <row r="1696" customFormat="1" x14ac:dyDescent="0.3"/>
    <row r="1697" customFormat="1" x14ac:dyDescent="0.3"/>
    <row r="1698" customFormat="1" x14ac:dyDescent="0.3"/>
    <row r="1699" customFormat="1" x14ac:dyDescent="0.3"/>
    <row r="1700" customFormat="1" x14ac:dyDescent="0.3"/>
    <row r="1701" customFormat="1" x14ac:dyDescent="0.3"/>
    <row r="1702" customFormat="1" x14ac:dyDescent="0.3"/>
    <row r="1703" customFormat="1" x14ac:dyDescent="0.3"/>
    <row r="1704" customFormat="1" x14ac:dyDescent="0.3"/>
    <row r="1705" customFormat="1" x14ac:dyDescent="0.3"/>
    <row r="1706" customFormat="1" x14ac:dyDescent="0.3"/>
    <row r="1707" customFormat="1" x14ac:dyDescent="0.3"/>
    <row r="1708" customFormat="1" x14ac:dyDescent="0.3"/>
    <row r="1709" customFormat="1" x14ac:dyDescent="0.3"/>
    <row r="1710" customFormat="1" x14ac:dyDescent="0.3"/>
    <row r="1711" customFormat="1" x14ac:dyDescent="0.3"/>
    <row r="1712" customFormat="1" x14ac:dyDescent="0.3"/>
    <row r="1713" customFormat="1" x14ac:dyDescent="0.3"/>
    <row r="1714" customFormat="1" x14ac:dyDescent="0.3"/>
    <row r="1715" customFormat="1" x14ac:dyDescent="0.3"/>
    <row r="1716" customFormat="1" x14ac:dyDescent="0.3"/>
    <row r="1717" customFormat="1" x14ac:dyDescent="0.3"/>
    <row r="1718" customFormat="1" x14ac:dyDescent="0.3"/>
    <row r="1719" customFormat="1" x14ac:dyDescent="0.3"/>
    <row r="1720" customFormat="1" x14ac:dyDescent="0.3"/>
    <row r="1721" customFormat="1" x14ac:dyDescent="0.3"/>
    <row r="1722" customFormat="1" x14ac:dyDescent="0.3"/>
    <row r="1723" customFormat="1" x14ac:dyDescent="0.3"/>
    <row r="1724" customFormat="1" x14ac:dyDescent="0.3"/>
    <row r="1725" customFormat="1" x14ac:dyDescent="0.3"/>
    <row r="1726" customFormat="1" x14ac:dyDescent="0.3"/>
    <row r="1727" customFormat="1" x14ac:dyDescent="0.3"/>
    <row r="1728" customFormat="1" x14ac:dyDescent="0.3"/>
    <row r="1729" customFormat="1" x14ac:dyDescent="0.3"/>
    <row r="1730" customFormat="1" x14ac:dyDescent="0.3"/>
    <row r="1731" customFormat="1" x14ac:dyDescent="0.3"/>
    <row r="1732" customFormat="1" x14ac:dyDescent="0.3"/>
    <row r="1733" customFormat="1" x14ac:dyDescent="0.3"/>
    <row r="1734" customFormat="1" x14ac:dyDescent="0.3"/>
    <row r="1735" customFormat="1" x14ac:dyDescent="0.3"/>
    <row r="1736" customFormat="1" x14ac:dyDescent="0.3"/>
    <row r="1737" customFormat="1" x14ac:dyDescent="0.3"/>
    <row r="1738" customFormat="1" x14ac:dyDescent="0.3"/>
    <row r="1739" customFormat="1" x14ac:dyDescent="0.3"/>
    <row r="1740" customFormat="1" x14ac:dyDescent="0.3"/>
    <row r="1741" customFormat="1" x14ac:dyDescent="0.3"/>
    <row r="1742" customFormat="1" x14ac:dyDescent="0.3"/>
    <row r="1743" customFormat="1" x14ac:dyDescent="0.3"/>
    <row r="1744" customFormat="1" x14ac:dyDescent="0.3"/>
    <row r="1745" customFormat="1" x14ac:dyDescent="0.3"/>
    <row r="1746" customFormat="1" x14ac:dyDescent="0.3"/>
    <row r="1747" customFormat="1" x14ac:dyDescent="0.3"/>
    <row r="1748" customFormat="1" x14ac:dyDescent="0.3"/>
    <row r="1749" customFormat="1" x14ac:dyDescent="0.3"/>
    <row r="1750" customFormat="1" x14ac:dyDescent="0.3"/>
    <row r="1751" customFormat="1" x14ac:dyDescent="0.3"/>
    <row r="1752" customFormat="1" x14ac:dyDescent="0.3"/>
    <row r="1753" customFormat="1" x14ac:dyDescent="0.3"/>
    <row r="1754" customFormat="1" x14ac:dyDescent="0.3"/>
    <row r="1755" customFormat="1" x14ac:dyDescent="0.3"/>
    <row r="1756" customFormat="1" x14ac:dyDescent="0.3"/>
    <row r="1757" customFormat="1" x14ac:dyDescent="0.3"/>
    <row r="1758" customFormat="1" x14ac:dyDescent="0.3"/>
    <row r="1759" customFormat="1" x14ac:dyDescent="0.3"/>
    <row r="1760" customFormat="1" x14ac:dyDescent="0.3"/>
    <row r="1761" customFormat="1" x14ac:dyDescent="0.3"/>
    <row r="1762" customFormat="1" x14ac:dyDescent="0.3"/>
    <row r="1763" customFormat="1" x14ac:dyDescent="0.3"/>
    <row r="1764" customFormat="1" x14ac:dyDescent="0.3"/>
    <row r="1765" customFormat="1" x14ac:dyDescent="0.3"/>
    <row r="1766" customFormat="1" x14ac:dyDescent="0.3"/>
    <row r="1767" customFormat="1" x14ac:dyDescent="0.3"/>
    <row r="1768" customFormat="1" x14ac:dyDescent="0.3"/>
    <row r="1769" customFormat="1" x14ac:dyDescent="0.3"/>
    <row r="1770" customFormat="1" x14ac:dyDescent="0.3"/>
    <row r="1771" customFormat="1" x14ac:dyDescent="0.3"/>
    <row r="1772" customFormat="1" x14ac:dyDescent="0.3"/>
    <row r="1773" customFormat="1" x14ac:dyDescent="0.3"/>
    <row r="1774" customFormat="1" x14ac:dyDescent="0.3"/>
    <row r="1775" customFormat="1" x14ac:dyDescent="0.3"/>
    <row r="1776" customFormat="1" x14ac:dyDescent="0.3"/>
    <row r="1777" customFormat="1" x14ac:dyDescent="0.3"/>
    <row r="1778" customFormat="1" x14ac:dyDescent="0.3"/>
    <row r="1779" customFormat="1" x14ac:dyDescent="0.3"/>
    <row r="1780" customFormat="1" x14ac:dyDescent="0.3"/>
    <row r="1781" customFormat="1" x14ac:dyDescent="0.3"/>
    <row r="1782" customFormat="1" x14ac:dyDescent="0.3"/>
    <row r="1783" customFormat="1" x14ac:dyDescent="0.3"/>
    <row r="1784" customFormat="1" x14ac:dyDescent="0.3"/>
    <row r="1785" customFormat="1" x14ac:dyDescent="0.3"/>
    <row r="1786" customFormat="1" x14ac:dyDescent="0.3"/>
    <row r="1787" customFormat="1" x14ac:dyDescent="0.3"/>
    <row r="1788" customFormat="1" x14ac:dyDescent="0.3"/>
    <row r="1789" customFormat="1" x14ac:dyDescent="0.3"/>
    <row r="1790" customFormat="1" x14ac:dyDescent="0.3"/>
    <row r="1791" customFormat="1" x14ac:dyDescent="0.3"/>
    <row r="1792" customFormat="1" x14ac:dyDescent="0.3"/>
    <row r="1793" customFormat="1" x14ac:dyDescent="0.3"/>
    <row r="1794" customFormat="1" x14ac:dyDescent="0.3"/>
    <row r="1795" customFormat="1" x14ac:dyDescent="0.3"/>
    <row r="1796" customFormat="1" x14ac:dyDescent="0.3"/>
    <row r="1797" customFormat="1" x14ac:dyDescent="0.3"/>
    <row r="1798" customFormat="1" x14ac:dyDescent="0.3"/>
    <row r="1799" customFormat="1" x14ac:dyDescent="0.3"/>
    <row r="1800" customFormat="1" x14ac:dyDescent="0.3"/>
    <row r="1801" customFormat="1" x14ac:dyDescent="0.3"/>
    <row r="1802" customFormat="1" x14ac:dyDescent="0.3"/>
    <row r="1803" customFormat="1" x14ac:dyDescent="0.3"/>
    <row r="1804" customFormat="1" x14ac:dyDescent="0.3"/>
    <row r="1805" customFormat="1" x14ac:dyDescent="0.3"/>
    <row r="1806" customFormat="1" x14ac:dyDescent="0.3"/>
    <row r="1807" customFormat="1" x14ac:dyDescent="0.3"/>
    <row r="1808" customFormat="1" x14ac:dyDescent="0.3"/>
    <row r="1809" customFormat="1" x14ac:dyDescent="0.3"/>
    <row r="1810" customFormat="1" x14ac:dyDescent="0.3"/>
    <row r="1811" customFormat="1" x14ac:dyDescent="0.3"/>
    <row r="1812" customFormat="1" x14ac:dyDescent="0.3"/>
    <row r="1813" customFormat="1" x14ac:dyDescent="0.3"/>
    <row r="1814" customFormat="1" x14ac:dyDescent="0.3"/>
    <row r="1815" customFormat="1" x14ac:dyDescent="0.3"/>
    <row r="1816" customFormat="1" x14ac:dyDescent="0.3"/>
    <row r="1817" customFormat="1" x14ac:dyDescent="0.3"/>
    <row r="1818" customFormat="1" x14ac:dyDescent="0.3"/>
    <row r="1819" customFormat="1" x14ac:dyDescent="0.3"/>
    <row r="1820" customFormat="1" x14ac:dyDescent="0.3"/>
    <row r="1821" customFormat="1" x14ac:dyDescent="0.3"/>
    <row r="1822" customFormat="1" x14ac:dyDescent="0.3"/>
    <row r="1823" customFormat="1" x14ac:dyDescent="0.3"/>
    <row r="1824" customFormat="1" x14ac:dyDescent="0.3"/>
    <row r="1825" customFormat="1" x14ac:dyDescent="0.3"/>
    <row r="1826" customFormat="1" x14ac:dyDescent="0.3"/>
    <row r="1827" customFormat="1" x14ac:dyDescent="0.3"/>
    <row r="1828" customFormat="1" x14ac:dyDescent="0.3"/>
    <row r="1829" customFormat="1" x14ac:dyDescent="0.3"/>
    <row r="1830" customFormat="1" x14ac:dyDescent="0.3"/>
    <row r="1831" customFormat="1" x14ac:dyDescent="0.3"/>
    <row r="1832" customFormat="1" x14ac:dyDescent="0.3"/>
    <row r="1833" customFormat="1" x14ac:dyDescent="0.3"/>
    <row r="1834" customFormat="1" x14ac:dyDescent="0.3"/>
    <row r="1835" customFormat="1" x14ac:dyDescent="0.3"/>
    <row r="1836" customFormat="1" x14ac:dyDescent="0.3"/>
    <row r="1837" customFormat="1" x14ac:dyDescent="0.3"/>
    <row r="1838" customFormat="1" x14ac:dyDescent="0.3"/>
    <row r="1839" customFormat="1" x14ac:dyDescent="0.3"/>
    <row r="1840" customFormat="1" x14ac:dyDescent="0.3"/>
    <row r="1841" customFormat="1" x14ac:dyDescent="0.3"/>
    <row r="1842" customFormat="1" x14ac:dyDescent="0.3"/>
    <row r="1843" customFormat="1" x14ac:dyDescent="0.3"/>
    <row r="1844" customFormat="1" x14ac:dyDescent="0.3"/>
    <row r="1845" customFormat="1" x14ac:dyDescent="0.3"/>
    <row r="1846" customFormat="1" x14ac:dyDescent="0.3"/>
    <row r="1847" customFormat="1" x14ac:dyDescent="0.3"/>
    <row r="1848" customFormat="1" x14ac:dyDescent="0.3"/>
    <row r="1849" customFormat="1" x14ac:dyDescent="0.3"/>
    <row r="1850" customFormat="1" x14ac:dyDescent="0.3"/>
    <row r="1851" customFormat="1" x14ac:dyDescent="0.3"/>
    <row r="1852" customFormat="1" x14ac:dyDescent="0.3"/>
    <row r="1853" customFormat="1" x14ac:dyDescent="0.3"/>
    <row r="1854" customFormat="1" x14ac:dyDescent="0.3"/>
    <row r="1855" customFormat="1" x14ac:dyDescent="0.3"/>
    <row r="1856" customFormat="1" x14ac:dyDescent="0.3"/>
    <row r="1857" customFormat="1" x14ac:dyDescent="0.3"/>
    <row r="1858" customFormat="1" x14ac:dyDescent="0.3"/>
    <row r="1859" customFormat="1" x14ac:dyDescent="0.3"/>
    <row r="1860" customFormat="1" x14ac:dyDescent="0.3"/>
    <row r="1861" customFormat="1" x14ac:dyDescent="0.3"/>
    <row r="1862" customFormat="1" x14ac:dyDescent="0.3"/>
    <row r="1863" customFormat="1" x14ac:dyDescent="0.3"/>
    <row r="1864" customFormat="1" x14ac:dyDescent="0.3"/>
    <row r="1865" customFormat="1" x14ac:dyDescent="0.3"/>
    <row r="1866" customFormat="1" x14ac:dyDescent="0.3"/>
    <row r="1867" customFormat="1" x14ac:dyDescent="0.3"/>
    <row r="1868" customFormat="1" x14ac:dyDescent="0.3"/>
    <row r="1869" customFormat="1" x14ac:dyDescent="0.3"/>
    <row r="1870" customFormat="1" x14ac:dyDescent="0.3"/>
    <row r="1871" customFormat="1" x14ac:dyDescent="0.3"/>
    <row r="1872" customFormat="1" x14ac:dyDescent="0.3"/>
    <row r="1873" customFormat="1" x14ac:dyDescent="0.3"/>
    <row r="1874" customFormat="1" x14ac:dyDescent="0.3"/>
    <row r="1875" customFormat="1" x14ac:dyDescent="0.3"/>
    <row r="1876" customFormat="1" x14ac:dyDescent="0.3"/>
    <row r="1877" customFormat="1" x14ac:dyDescent="0.3"/>
    <row r="1878" customFormat="1" x14ac:dyDescent="0.3"/>
    <row r="1879" customFormat="1" x14ac:dyDescent="0.3"/>
    <row r="1880" customFormat="1" x14ac:dyDescent="0.3"/>
    <row r="1881" customFormat="1" x14ac:dyDescent="0.3"/>
    <row r="1882" customFormat="1" x14ac:dyDescent="0.3"/>
    <row r="1883" customFormat="1" x14ac:dyDescent="0.3"/>
    <row r="1884" customFormat="1" x14ac:dyDescent="0.3"/>
    <row r="1885" customFormat="1" x14ac:dyDescent="0.3"/>
    <row r="1886" customFormat="1" x14ac:dyDescent="0.3"/>
    <row r="1887" customFormat="1" x14ac:dyDescent="0.3"/>
    <row r="1888" customFormat="1" x14ac:dyDescent="0.3"/>
    <row r="1889" customFormat="1" x14ac:dyDescent="0.3"/>
    <row r="1890" customFormat="1" x14ac:dyDescent="0.3"/>
    <row r="1891" customFormat="1" x14ac:dyDescent="0.3"/>
    <row r="1892" customFormat="1" x14ac:dyDescent="0.3"/>
    <row r="1893" customFormat="1" x14ac:dyDescent="0.3"/>
    <row r="1894" customFormat="1" x14ac:dyDescent="0.3"/>
    <row r="1895" customFormat="1" x14ac:dyDescent="0.3"/>
    <row r="1896" customFormat="1" x14ac:dyDescent="0.3"/>
    <row r="1897" customFormat="1" x14ac:dyDescent="0.3"/>
    <row r="1898" customFormat="1" x14ac:dyDescent="0.3"/>
    <row r="1899" customFormat="1" x14ac:dyDescent="0.3"/>
    <row r="1900" customFormat="1" x14ac:dyDescent="0.3"/>
    <row r="1901" customFormat="1" x14ac:dyDescent="0.3"/>
    <row r="1902" customFormat="1" x14ac:dyDescent="0.3"/>
    <row r="1903" customFormat="1" x14ac:dyDescent="0.3"/>
    <row r="1904" customFormat="1" x14ac:dyDescent="0.3"/>
    <row r="1905" customFormat="1" x14ac:dyDescent="0.3"/>
    <row r="1906" customFormat="1" x14ac:dyDescent="0.3"/>
    <row r="1907" customFormat="1" x14ac:dyDescent="0.3"/>
    <row r="1908" customFormat="1" x14ac:dyDescent="0.3"/>
    <row r="1909" customFormat="1" x14ac:dyDescent="0.3"/>
    <row r="1910" customFormat="1" x14ac:dyDescent="0.3"/>
    <row r="1911" customFormat="1" x14ac:dyDescent="0.3"/>
    <row r="1912" customFormat="1" x14ac:dyDescent="0.3"/>
    <row r="1913" customFormat="1" x14ac:dyDescent="0.3"/>
    <row r="1914" customFormat="1" x14ac:dyDescent="0.3"/>
    <row r="1915" customFormat="1" x14ac:dyDescent="0.3"/>
    <row r="1916" customFormat="1" x14ac:dyDescent="0.3"/>
    <row r="1917" customFormat="1" x14ac:dyDescent="0.3"/>
    <row r="1918" customFormat="1" x14ac:dyDescent="0.3"/>
    <row r="1919" customFormat="1" x14ac:dyDescent="0.3"/>
    <row r="1920" customFormat="1" x14ac:dyDescent="0.3"/>
    <row r="1921" customFormat="1" x14ac:dyDescent="0.3"/>
    <row r="1922" customFormat="1" x14ac:dyDescent="0.3"/>
    <row r="1923" customFormat="1" x14ac:dyDescent="0.3"/>
    <row r="1924" customFormat="1" x14ac:dyDescent="0.3"/>
    <row r="1925" customFormat="1" x14ac:dyDescent="0.3"/>
    <row r="1926" customFormat="1" x14ac:dyDescent="0.3"/>
    <row r="1927" customFormat="1" x14ac:dyDescent="0.3"/>
    <row r="1928" customFormat="1" x14ac:dyDescent="0.3"/>
    <row r="1929" customFormat="1" x14ac:dyDescent="0.3"/>
    <row r="1930" customFormat="1" x14ac:dyDescent="0.3"/>
    <row r="1931" customFormat="1" x14ac:dyDescent="0.3"/>
    <row r="1932" customFormat="1" x14ac:dyDescent="0.3"/>
    <row r="1933" customFormat="1" x14ac:dyDescent="0.3"/>
    <row r="1934" customFormat="1" x14ac:dyDescent="0.3"/>
    <row r="1935" customFormat="1" x14ac:dyDescent="0.3"/>
    <row r="1936" customFormat="1" x14ac:dyDescent="0.3"/>
    <row r="1937" customFormat="1" x14ac:dyDescent="0.3"/>
    <row r="1938" customFormat="1" x14ac:dyDescent="0.3"/>
    <row r="1939" customFormat="1" x14ac:dyDescent="0.3"/>
    <row r="1940" customFormat="1" x14ac:dyDescent="0.3"/>
    <row r="1941" customFormat="1" x14ac:dyDescent="0.3"/>
    <row r="1942" customFormat="1" x14ac:dyDescent="0.3"/>
    <row r="1943" customFormat="1" x14ac:dyDescent="0.3"/>
    <row r="1944" customFormat="1" x14ac:dyDescent="0.3"/>
    <row r="1945" customFormat="1" x14ac:dyDescent="0.3"/>
    <row r="1946" customFormat="1" x14ac:dyDescent="0.3"/>
    <row r="1947" customFormat="1" x14ac:dyDescent="0.3"/>
    <row r="1948" customFormat="1" x14ac:dyDescent="0.3"/>
    <row r="1949" customFormat="1" x14ac:dyDescent="0.3"/>
    <row r="1950" customFormat="1" x14ac:dyDescent="0.3"/>
    <row r="1951" customFormat="1" x14ac:dyDescent="0.3"/>
    <row r="1952" customFormat="1" x14ac:dyDescent="0.3"/>
    <row r="1953" customFormat="1" x14ac:dyDescent="0.3"/>
    <row r="1954" customFormat="1" x14ac:dyDescent="0.3"/>
    <row r="1955" customFormat="1" x14ac:dyDescent="0.3"/>
    <row r="1956" customFormat="1" x14ac:dyDescent="0.3"/>
    <row r="1957" customFormat="1" x14ac:dyDescent="0.3"/>
    <row r="1958" customFormat="1" x14ac:dyDescent="0.3"/>
    <row r="1959" customFormat="1" x14ac:dyDescent="0.3"/>
    <row r="1960" customFormat="1" x14ac:dyDescent="0.3"/>
    <row r="1961" customFormat="1" x14ac:dyDescent="0.3"/>
    <row r="1962" customFormat="1" x14ac:dyDescent="0.3"/>
    <row r="1963" customFormat="1" x14ac:dyDescent="0.3"/>
    <row r="1964" customFormat="1" x14ac:dyDescent="0.3"/>
    <row r="1965" customFormat="1" x14ac:dyDescent="0.3"/>
    <row r="1966" customFormat="1" x14ac:dyDescent="0.3"/>
    <row r="1967" customFormat="1" x14ac:dyDescent="0.3"/>
    <row r="1968" customFormat="1" x14ac:dyDescent="0.3"/>
    <row r="1969" customFormat="1" x14ac:dyDescent="0.3"/>
    <row r="1970" customFormat="1" x14ac:dyDescent="0.3"/>
    <row r="1971" customFormat="1" x14ac:dyDescent="0.3"/>
    <row r="1972" customFormat="1" x14ac:dyDescent="0.3"/>
    <row r="1973" customFormat="1" x14ac:dyDescent="0.3"/>
    <row r="1974" customFormat="1" x14ac:dyDescent="0.3"/>
    <row r="1975" customFormat="1" x14ac:dyDescent="0.3"/>
    <row r="1976" customFormat="1" x14ac:dyDescent="0.3"/>
    <row r="1977" customFormat="1" x14ac:dyDescent="0.3"/>
    <row r="1978" customFormat="1" x14ac:dyDescent="0.3"/>
    <row r="1979" customFormat="1" x14ac:dyDescent="0.3"/>
    <row r="1980" customFormat="1" x14ac:dyDescent="0.3"/>
    <row r="1981" customFormat="1" x14ac:dyDescent="0.3"/>
    <row r="1982" customFormat="1" x14ac:dyDescent="0.3"/>
    <row r="1983" customFormat="1" x14ac:dyDescent="0.3"/>
    <row r="1984" customFormat="1" x14ac:dyDescent="0.3"/>
    <row r="1985" customFormat="1" x14ac:dyDescent="0.3"/>
    <row r="1986" customFormat="1" x14ac:dyDescent="0.3"/>
    <row r="1987" customFormat="1" x14ac:dyDescent="0.3"/>
    <row r="1988" customFormat="1" x14ac:dyDescent="0.3"/>
    <row r="1989" customFormat="1" x14ac:dyDescent="0.3"/>
    <row r="1990" customFormat="1" x14ac:dyDescent="0.3"/>
    <row r="1991" customFormat="1" x14ac:dyDescent="0.3"/>
    <row r="1992" customFormat="1" x14ac:dyDescent="0.3"/>
    <row r="1993" customFormat="1" x14ac:dyDescent="0.3"/>
    <row r="1994" customFormat="1" x14ac:dyDescent="0.3"/>
    <row r="1995" customFormat="1" x14ac:dyDescent="0.3"/>
    <row r="1996" customFormat="1" x14ac:dyDescent="0.3"/>
    <row r="1997" customFormat="1" x14ac:dyDescent="0.3"/>
    <row r="1998" customFormat="1" x14ac:dyDescent="0.3"/>
    <row r="1999" customFormat="1" x14ac:dyDescent="0.3"/>
    <row r="2000" customFormat="1" x14ac:dyDescent="0.3"/>
    <row r="2001" customFormat="1" x14ac:dyDescent="0.3"/>
    <row r="2002" customFormat="1" x14ac:dyDescent="0.3"/>
    <row r="2003" customFormat="1" x14ac:dyDescent="0.3"/>
    <row r="2004" customFormat="1" x14ac:dyDescent="0.3"/>
    <row r="2005" customFormat="1" x14ac:dyDescent="0.3"/>
    <row r="2006" customFormat="1" x14ac:dyDescent="0.3"/>
    <row r="2007" customFormat="1" x14ac:dyDescent="0.3"/>
    <row r="2008" customFormat="1" x14ac:dyDescent="0.3"/>
    <row r="2009" customFormat="1" x14ac:dyDescent="0.3"/>
    <row r="2010" customFormat="1" x14ac:dyDescent="0.3"/>
    <row r="2011" customFormat="1" x14ac:dyDescent="0.3"/>
    <row r="2012" customFormat="1" x14ac:dyDescent="0.3"/>
    <row r="2013" customFormat="1" x14ac:dyDescent="0.3"/>
    <row r="2014" customFormat="1" x14ac:dyDescent="0.3"/>
    <row r="2015" customFormat="1" x14ac:dyDescent="0.3"/>
    <row r="2016" customFormat="1" x14ac:dyDescent="0.3"/>
    <row r="2017" customFormat="1" x14ac:dyDescent="0.3"/>
    <row r="2018" customFormat="1" x14ac:dyDescent="0.3"/>
    <row r="2019" customFormat="1" x14ac:dyDescent="0.3"/>
    <row r="2020" customFormat="1" x14ac:dyDescent="0.3"/>
    <row r="2021" customFormat="1" x14ac:dyDescent="0.3"/>
    <row r="2022" customFormat="1" x14ac:dyDescent="0.3"/>
    <row r="2023" customFormat="1" x14ac:dyDescent="0.3"/>
    <row r="2024" customFormat="1" x14ac:dyDescent="0.3"/>
    <row r="2025" customFormat="1" x14ac:dyDescent="0.3"/>
    <row r="2026" customFormat="1" x14ac:dyDescent="0.3"/>
    <row r="2027" customFormat="1" x14ac:dyDescent="0.3"/>
    <row r="2028" customFormat="1" x14ac:dyDescent="0.3"/>
    <row r="2029" customFormat="1" x14ac:dyDescent="0.3"/>
    <row r="2030" customFormat="1" x14ac:dyDescent="0.3"/>
    <row r="2031" customFormat="1" x14ac:dyDescent="0.3"/>
    <row r="2032" customFormat="1" x14ac:dyDescent="0.3"/>
    <row r="2033" customFormat="1" x14ac:dyDescent="0.3"/>
    <row r="2034" customFormat="1" x14ac:dyDescent="0.3"/>
    <row r="2035" customFormat="1" x14ac:dyDescent="0.3"/>
    <row r="2036" customFormat="1" x14ac:dyDescent="0.3"/>
    <row r="2037" customFormat="1" x14ac:dyDescent="0.3"/>
    <row r="2038" customFormat="1" x14ac:dyDescent="0.3"/>
    <row r="2039" customFormat="1" x14ac:dyDescent="0.3"/>
    <row r="2040" customFormat="1" x14ac:dyDescent="0.3"/>
    <row r="2041" customFormat="1" x14ac:dyDescent="0.3"/>
    <row r="2042" customFormat="1" x14ac:dyDescent="0.3"/>
    <row r="2043" customFormat="1" x14ac:dyDescent="0.3"/>
    <row r="2044" customFormat="1" x14ac:dyDescent="0.3"/>
    <row r="2045" customFormat="1" x14ac:dyDescent="0.3"/>
    <row r="2046" customFormat="1" x14ac:dyDescent="0.3"/>
    <row r="2047" customFormat="1" x14ac:dyDescent="0.3"/>
    <row r="2048" customFormat="1" x14ac:dyDescent="0.3"/>
    <row r="2049" customFormat="1" x14ac:dyDescent="0.3"/>
    <row r="2050" customFormat="1" x14ac:dyDescent="0.3"/>
    <row r="2051" customFormat="1" x14ac:dyDescent="0.3"/>
    <row r="2052" customFormat="1" x14ac:dyDescent="0.3"/>
    <row r="2053" customFormat="1" x14ac:dyDescent="0.3"/>
    <row r="2054" customFormat="1" x14ac:dyDescent="0.3"/>
    <row r="2055" customFormat="1" x14ac:dyDescent="0.3"/>
    <row r="2056" customFormat="1" x14ac:dyDescent="0.3"/>
    <row r="2057" customFormat="1" x14ac:dyDescent="0.3"/>
    <row r="2058" customFormat="1" x14ac:dyDescent="0.3"/>
    <row r="2059" customFormat="1" x14ac:dyDescent="0.3"/>
    <row r="2060" customFormat="1" x14ac:dyDescent="0.3"/>
    <row r="2061" customFormat="1" x14ac:dyDescent="0.3"/>
    <row r="2062" customFormat="1" x14ac:dyDescent="0.3"/>
    <row r="2063" customFormat="1" x14ac:dyDescent="0.3"/>
    <row r="2064" customFormat="1" x14ac:dyDescent="0.3"/>
    <row r="2065" customFormat="1" x14ac:dyDescent="0.3"/>
    <row r="2066" customFormat="1" x14ac:dyDescent="0.3"/>
    <row r="2067" customFormat="1" x14ac:dyDescent="0.3"/>
    <row r="2068" customFormat="1" x14ac:dyDescent="0.3"/>
    <row r="2069" customFormat="1" x14ac:dyDescent="0.3"/>
    <row r="2070" customFormat="1" x14ac:dyDescent="0.3"/>
    <row r="2071" customFormat="1" x14ac:dyDescent="0.3"/>
    <row r="2072" customFormat="1" x14ac:dyDescent="0.3"/>
    <row r="2073" customFormat="1" x14ac:dyDescent="0.3"/>
    <row r="2074" customFormat="1" x14ac:dyDescent="0.3"/>
    <row r="2075" customFormat="1" x14ac:dyDescent="0.3"/>
    <row r="2076" customFormat="1" x14ac:dyDescent="0.3"/>
    <row r="2077" customFormat="1" x14ac:dyDescent="0.3"/>
    <row r="2078" customFormat="1" x14ac:dyDescent="0.3"/>
    <row r="2079" customFormat="1" x14ac:dyDescent="0.3"/>
    <row r="2080" customFormat="1" x14ac:dyDescent="0.3"/>
    <row r="2081" customFormat="1" x14ac:dyDescent="0.3"/>
    <row r="2082" customFormat="1" x14ac:dyDescent="0.3"/>
    <row r="2083" customFormat="1" x14ac:dyDescent="0.3"/>
    <row r="2084" customFormat="1" x14ac:dyDescent="0.3"/>
    <row r="2085" customFormat="1" x14ac:dyDescent="0.3"/>
    <row r="2086" customFormat="1" x14ac:dyDescent="0.3"/>
    <row r="2087" customFormat="1" x14ac:dyDescent="0.3"/>
    <row r="2088" customFormat="1" x14ac:dyDescent="0.3"/>
    <row r="2089" customFormat="1" x14ac:dyDescent="0.3"/>
    <row r="2090" customFormat="1" x14ac:dyDescent="0.3"/>
    <row r="2091" customFormat="1" x14ac:dyDescent="0.3"/>
    <row r="2092" customFormat="1" x14ac:dyDescent="0.3"/>
    <row r="2093" customFormat="1" x14ac:dyDescent="0.3"/>
    <row r="2094" customFormat="1" x14ac:dyDescent="0.3"/>
    <row r="2095" customFormat="1" x14ac:dyDescent="0.3"/>
    <row r="2096" customFormat="1" x14ac:dyDescent="0.3"/>
    <row r="2097" customFormat="1" x14ac:dyDescent="0.3"/>
    <row r="2098" customFormat="1" x14ac:dyDescent="0.3"/>
    <row r="2099" customFormat="1" x14ac:dyDescent="0.3"/>
    <row r="2100" customFormat="1" x14ac:dyDescent="0.3"/>
    <row r="2101" customFormat="1" x14ac:dyDescent="0.3"/>
    <row r="2102" customFormat="1" x14ac:dyDescent="0.3"/>
    <row r="2103" customFormat="1" x14ac:dyDescent="0.3"/>
    <row r="2104" customFormat="1" x14ac:dyDescent="0.3"/>
    <row r="2105" customFormat="1" x14ac:dyDescent="0.3"/>
    <row r="2106" customFormat="1" x14ac:dyDescent="0.3"/>
    <row r="2107" customFormat="1" x14ac:dyDescent="0.3"/>
    <row r="2108" customFormat="1" x14ac:dyDescent="0.3"/>
    <row r="2109" customFormat="1" x14ac:dyDescent="0.3"/>
    <row r="2110" customFormat="1" x14ac:dyDescent="0.3"/>
    <row r="2111" customFormat="1" x14ac:dyDescent="0.3"/>
    <row r="2112" customFormat="1" x14ac:dyDescent="0.3"/>
    <row r="2113" customFormat="1" x14ac:dyDescent="0.3"/>
    <row r="2114" customFormat="1" x14ac:dyDescent="0.3"/>
    <row r="2115" customFormat="1" x14ac:dyDescent="0.3"/>
    <row r="2116" customFormat="1" x14ac:dyDescent="0.3"/>
    <row r="2117" customFormat="1" x14ac:dyDescent="0.3"/>
    <row r="2118" customFormat="1" x14ac:dyDescent="0.3"/>
    <row r="2119" customFormat="1" x14ac:dyDescent="0.3"/>
    <row r="2120" customFormat="1" x14ac:dyDescent="0.3"/>
    <row r="2121" customFormat="1" x14ac:dyDescent="0.3"/>
    <row r="2122" customFormat="1" x14ac:dyDescent="0.3"/>
    <row r="2123" customFormat="1" x14ac:dyDescent="0.3"/>
    <row r="2124" customFormat="1" x14ac:dyDescent="0.3"/>
    <row r="2125" customFormat="1" x14ac:dyDescent="0.3"/>
    <row r="2126" customFormat="1" x14ac:dyDescent="0.3"/>
    <row r="2127" customFormat="1" x14ac:dyDescent="0.3"/>
    <row r="2128" customFormat="1" x14ac:dyDescent="0.3"/>
    <row r="2129" customFormat="1" x14ac:dyDescent="0.3"/>
    <row r="2130" customFormat="1" x14ac:dyDescent="0.3"/>
    <row r="2131" customFormat="1" x14ac:dyDescent="0.3"/>
    <row r="2132" customFormat="1" x14ac:dyDescent="0.3"/>
    <row r="2133" customFormat="1" x14ac:dyDescent="0.3"/>
    <row r="2134" customFormat="1" x14ac:dyDescent="0.3"/>
    <row r="2135" customFormat="1" x14ac:dyDescent="0.3"/>
    <row r="2136" customFormat="1" x14ac:dyDescent="0.3"/>
    <row r="2137" customFormat="1" x14ac:dyDescent="0.3"/>
    <row r="2138" customFormat="1" x14ac:dyDescent="0.3"/>
    <row r="2139" customFormat="1" x14ac:dyDescent="0.3"/>
    <row r="2140" customFormat="1" x14ac:dyDescent="0.3"/>
    <row r="2141" customFormat="1" x14ac:dyDescent="0.3"/>
    <row r="2142" customFormat="1" x14ac:dyDescent="0.3"/>
    <row r="2143" customFormat="1" x14ac:dyDescent="0.3"/>
    <row r="2144" customFormat="1" x14ac:dyDescent="0.3"/>
    <row r="2145" customFormat="1" x14ac:dyDescent="0.3"/>
    <row r="2146" customFormat="1" x14ac:dyDescent="0.3"/>
    <row r="2147" customFormat="1" x14ac:dyDescent="0.3"/>
    <row r="2148" customFormat="1" x14ac:dyDescent="0.3"/>
    <row r="2149" customFormat="1" x14ac:dyDescent="0.3"/>
    <row r="2150" customFormat="1" x14ac:dyDescent="0.3"/>
    <row r="2151" customFormat="1" x14ac:dyDescent="0.3"/>
    <row r="2152" customFormat="1" x14ac:dyDescent="0.3"/>
    <row r="2153" customFormat="1" x14ac:dyDescent="0.3"/>
    <row r="2154" customFormat="1" x14ac:dyDescent="0.3"/>
    <row r="2155" customFormat="1" x14ac:dyDescent="0.3"/>
    <row r="2156" customFormat="1" x14ac:dyDescent="0.3"/>
    <row r="2157" customFormat="1" x14ac:dyDescent="0.3"/>
    <row r="2158" customFormat="1" x14ac:dyDescent="0.3"/>
    <row r="2159" customFormat="1" x14ac:dyDescent="0.3"/>
    <row r="2160" customFormat="1" x14ac:dyDescent="0.3"/>
    <row r="2161" customFormat="1" x14ac:dyDescent="0.3"/>
    <row r="2162" customFormat="1" x14ac:dyDescent="0.3"/>
    <row r="2163" customFormat="1" x14ac:dyDescent="0.3"/>
    <row r="2164" customFormat="1" x14ac:dyDescent="0.3"/>
    <row r="2165" customFormat="1" x14ac:dyDescent="0.3"/>
    <row r="2166" customFormat="1" x14ac:dyDescent="0.3"/>
    <row r="2167" customFormat="1" x14ac:dyDescent="0.3"/>
    <row r="2168" customFormat="1" x14ac:dyDescent="0.3"/>
    <row r="2169" customFormat="1" x14ac:dyDescent="0.3"/>
    <row r="2170" customFormat="1" x14ac:dyDescent="0.3"/>
    <row r="2171" customFormat="1" x14ac:dyDescent="0.3"/>
    <row r="2172" customFormat="1" x14ac:dyDescent="0.3"/>
    <row r="2173" customFormat="1" x14ac:dyDescent="0.3"/>
    <row r="2174" customFormat="1" x14ac:dyDescent="0.3"/>
    <row r="2175" customFormat="1" x14ac:dyDescent="0.3"/>
    <row r="2176" customFormat="1" x14ac:dyDescent="0.3"/>
    <row r="2177" customFormat="1" x14ac:dyDescent="0.3"/>
    <row r="2178" customFormat="1" x14ac:dyDescent="0.3"/>
    <row r="2179" customFormat="1" x14ac:dyDescent="0.3"/>
    <row r="2180" customFormat="1" x14ac:dyDescent="0.3"/>
    <row r="2181" customFormat="1" x14ac:dyDescent="0.3"/>
    <row r="2182" customFormat="1" x14ac:dyDescent="0.3"/>
    <row r="2183" customFormat="1" x14ac:dyDescent="0.3"/>
    <row r="2184" customFormat="1" x14ac:dyDescent="0.3"/>
    <row r="2185" customFormat="1" x14ac:dyDescent="0.3"/>
    <row r="2186" customFormat="1" x14ac:dyDescent="0.3"/>
    <row r="2187" customFormat="1" x14ac:dyDescent="0.3"/>
    <row r="2188" customFormat="1" x14ac:dyDescent="0.3"/>
    <row r="2189" customFormat="1" x14ac:dyDescent="0.3"/>
    <row r="2190" customFormat="1" x14ac:dyDescent="0.3"/>
    <row r="2191" customFormat="1" x14ac:dyDescent="0.3"/>
    <row r="2192" customFormat="1" x14ac:dyDescent="0.3"/>
    <row r="2193" customFormat="1" x14ac:dyDescent="0.3"/>
    <row r="2194" customFormat="1" x14ac:dyDescent="0.3"/>
    <row r="2195" customFormat="1" x14ac:dyDescent="0.3"/>
    <row r="2196" customFormat="1" x14ac:dyDescent="0.3"/>
    <row r="2197" customFormat="1" x14ac:dyDescent="0.3"/>
    <row r="2198" customFormat="1" x14ac:dyDescent="0.3"/>
    <row r="2199" customFormat="1" x14ac:dyDescent="0.3"/>
    <row r="2200" customFormat="1" x14ac:dyDescent="0.3"/>
    <row r="2201" customFormat="1" x14ac:dyDescent="0.3"/>
    <row r="2202" customFormat="1" x14ac:dyDescent="0.3"/>
    <row r="2203" customFormat="1" x14ac:dyDescent="0.3"/>
    <row r="2204" customFormat="1" x14ac:dyDescent="0.3"/>
    <row r="2205" customFormat="1" x14ac:dyDescent="0.3"/>
    <row r="2206" customFormat="1" x14ac:dyDescent="0.3"/>
    <row r="2207" customFormat="1" x14ac:dyDescent="0.3"/>
    <row r="2208" customFormat="1" x14ac:dyDescent="0.3"/>
    <row r="2209" customFormat="1" x14ac:dyDescent="0.3"/>
    <row r="2210" customFormat="1" x14ac:dyDescent="0.3"/>
    <row r="2211" customFormat="1" x14ac:dyDescent="0.3"/>
    <row r="2212" customFormat="1" x14ac:dyDescent="0.3"/>
    <row r="2213" customFormat="1" x14ac:dyDescent="0.3"/>
    <row r="2214" customFormat="1" x14ac:dyDescent="0.3"/>
    <row r="2215" customFormat="1" x14ac:dyDescent="0.3"/>
    <row r="2216" customFormat="1" x14ac:dyDescent="0.3"/>
    <row r="2217" customFormat="1" x14ac:dyDescent="0.3"/>
    <row r="2218" customFormat="1" x14ac:dyDescent="0.3"/>
    <row r="2219" customFormat="1" x14ac:dyDescent="0.3"/>
    <row r="2220" customFormat="1" x14ac:dyDescent="0.3"/>
    <row r="2221" customFormat="1" x14ac:dyDescent="0.3"/>
    <row r="2222" customFormat="1" x14ac:dyDescent="0.3"/>
    <row r="2223" customFormat="1" x14ac:dyDescent="0.3"/>
    <row r="2224" customFormat="1" x14ac:dyDescent="0.3"/>
    <row r="2225" customFormat="1" x14ac:dyDescent="0.3"/>
    <row r="2226" customFormat="1" x14ac:dyDescent="0.3"/>
    <row r="2227" customFormat="1" x14ac:dyDescent="0.3"/>
    <row r="2228" customFormat="1" x14ac:dyDescent="0.3"/>
    <row r="2229" customFormat="1" x14ac:dyDescent="0.3"/>
    <row r="2230" customFormat="1" x14ac:dyDescent="0.3"/>
    <row r="2231" customFormat="1" x14ac:dyDescent="0.3"/>
    <row r="2232" customFormat="1" x14ac:dyDescent="0.3"/>
    <row r="2233" customFormat="1" x14ac:dyDescent="0.3"/>
    <row r="2234" customFormat="1" x14ac:dyDescent="0.3"/>
    <row r="2235" customFormat="1" x14ac:dyDescent="0.3"/>
    <row r="2236" customFormat="1" x14ac:dyDescent="0.3"/>
    <row r="2237" customFormat="1" x14ac:dyDescent="0.3"/>
    <row r="2238" customFormat="1" x14ac:dyDescent="0.3"/>
    <row r="2239" customFormat="1" x14ac:dyDescent="0.3"/>
    <row r="2240" customFormat="1" x14ac:dyDescent="0.3"/>
    <row r="2241" customFormat="1" x14ac:dyDescent="0.3"/>
    <row r="2242" customFormat="1" x14ac:dyDescent="0.3"/>
    <row r="2243" customFormat="1" x14ac:dyDescent="0.3"/>
    <row r="2244" customFormat="1" x14ac:dyDescent="0.3"/>
    <row r="2245" customFormat="1" x14ac:dyDescent="0.3"/>
    <row r="2246" customFormat="1" x14ac:dyDescent="0.3"/>
    <row r="2247" customFormat="1" x14ac:dyDescent="0.3"/>
    <row r="2248" customFormat="1" x14ac:dyDescent="0.3"/>
    <row r="2249" customFormat="1" x14ac:dyDescent="0.3"/>
    <row r="2250" customFormat="1" x14ac:dyDescent="0.3"/>
    <row r="2251" customFormat="1" x14ac:dyDescent="0.3"/>
    <row r="2252" customFormat="1" x14ac:dyDescent="0.3"/>
    <row r="2253" customFormat="1" x14ac:dyDescent="0.3"/>
    <row r="2254" customFormat="1" x14ac:dyDescent="0.3"/>
    <row r="2255" customFormat="1" x14ac:dyDescent="0.3"/>
    <row r="2256" customFormat="1" x14ac:dyDescent="0.3"/>
    <row r="2257" customFormat="1" x14ac:dyDescent="0.3"/>
    <row r="2258" customFormat="1" x14ac:dyDescent="0.3"/>
    <row r="2259" customFormat="1" x14ac:dyDescent="0.3"/>
    <row r="2260" customFormat="1" x14ac:dyDescent="0.3"/>
    <row r="2261" customFormat="1" x14ac:dyDescent="0.3"/>
    <row r="2262" customFormat="1" x14ac:dyDescent="0.3"/>
    <row r="2263" customFormat="1" x14ac:dyDescent="0.3"/>
    <row r="2264" customFormat="1" x14ac:dyDescent="0.3"/>
    <row r="2265" customFormat="1" x14ac:dyDescent="0.3"/>
    <row r="2266" customFormat="1" x14ac:dyDescent="0.3"/>
    <row r="2267" customFormat="1" x14ac:dyDescent="0.3"/>
    <row r="2268" customFormat="1" x14ac:dyDescent="0.3"/>
    <row r="2269" customFormat="1" x14ac:dyDescent="0.3"/>
    <row r="2270" customFormat="1" x14ac:dyDescent="0.3"/>
    <row r="2271" customFormat="1" x14ac:dyDescent="0.3"/>
    <row r="2272" customFormat="1" x14ac:dyDescent="0.3"/>
    <row r="2273" customFormat="1" x14ac:dyDescent="0.3"/>
    <row r="2274" customFormat="1" x14ac:dyDescent="0.3"/>
    <row r="2275" customFormat="1" x14ac:dyDescent="0.3"/>
    <row r="2276" customFormat="1" x14ac:dyDescent="0.3"/>
    <row r="2277" customFormat="1" x14ac:dyDescent="0.3"/>
    <row r="2278" customFormat="1" x14ac:dyDescent="0.3"/>
    <row r="2279" customFormat="1" x14ac:dyDescent="0.3"/>
    <row r="2280" customFormat="1" x14ac:dyDescent="0.3"/>
    <row r="2281" customFormat="1" x14ac:dyDescent="0.3"/>
    <row r="2282" customFormat="1" x14ac:dyDescent="0.3"/>
    <row r="2283" customFormat="1" x14ac:dyDescent="0.3"/>
    <row r="2284" customFormat="1" x14ac:dyDescent="0.3"/>
    <row r="2285" customFormat="1" x14ac:dyDescent="0.3"/>
    <row r="2286" customFormat="1" x14ac:dyDescent="0.3"/>
    <row r="2287" customFormat="1" x14ac:dyDescent="0.3"/>
    <row r="2288" customFormat="1" x14ac:dyDescent="0.3"/>
    <row r="2289" customFormat="1" x14ac:dyDescent="0.3"/>
    <row r="2290" customFormat="1" x14ac:dyDescent="0.3"/>
    <row r="2291" customFormat="1" x14ac:dyDescent="0.3"/>
    <row r="2292" customFormat="1" x14ac:dyDescent="0.3"/>
    <row r="2293" customFormat="1" x14ac:dyDescent="0.3"/>
    <row r="2294" customFormat="1" x14ac:dyDescent="0.3"/>
    <row r="2295" customFormat="1" x14ac:dyDescent="0.3"/>
    <row r="2296" customFormat="1" x14ac:dyDescent="0.3"/>
    <row r="2297" customFormat="1" x14ac:dyDescent="0.3"/>
    <row r="2298" customFormat="1" x14ac:dyDescent="0.3"/>
    <row r="2299" customFormat="1" x14ac:dyDescent="0.3"/>
    <row r="2300" customFormat="1" x14ac:dyDescent="0.3"/>
    <row r="2301" customFormat="1" x14ac:dyDescent="0.3"/>
    <row r="2302" customFormat="1" x14ac:dyDescent="0.3"/>
    <row r="2303" customFormat="1" x14ac:dyDescent="0.3"/>
    <row r="2304" customFormat="1" x14ac:dyDescent="0.3"/>
    <row r="2305" customFormat="1" x14ac:dyDescent="0.3"/>
    <row r="2306" customFormat="1" x14ac:dyDescent="0.3"/>
    <row r="2307" customFormat="1" x14ac:dyDescent="0.3"/>
    <row r="2308" customFormat="1" x14ac:dyDescent="0.3"/>
    <row r="2309" customFormat="1" x14ac:dyDescent="0.3"/>
    <row r="2310" customFormat="1" x14ac:dyDescent="0.3"/>
    <row r="2311" customFormat="1" x14ac:dyDescent="0.3"/>
    <row r="2312" customFormat="1" x14ac:dyDescent="0.3"/>
    <row r="2313" customFormat="1" x14ac:dyDescent="0.3"/>
    <row r="2314" customFormat="1" x14ac:dyDescent="0.3"/>
    <row r="2315" customFormat="1" x14ac:dyDescent="0.3"/>
    <row r="2316" customFormat="1" x14ac:dyDescent="0.3"/>
    <row r="2317" customFormat="1" x14ac:dyDescent="0.3"/>
    <row r="2318" customFormat="1" x14ac:dyDescent="0.3"/>
    <row r="2319" customFormat="1" x14ac:dyDescent="0.3"/>
    <row r="2320" customFormat="1" x14ac:dyDescent="0.3"/>
    <row r="2321" customFormat="1" x14ac:dyDescent="0.3"/>
    <row r="2322" customFormat="1" x14ac:dyDescent="0.3"/>
    <row r="2323" customFormat="1" x14ac:dyDescent="0.3"/>
    <row r="2324" customFormat="1" x14ac:dyDescent="0.3"/>
    <row r="2325" customFormat="1" x14ac:dyDescent="0.3"/>
    <row r="2326" customFormat="1" x14ac:dyDescent="0.3"/>
    <row r="2327" customFormat="1" x14ac:dyDescent="0.3"/>
    <row r="2328" customFormat="1" x14ac:dyDescent="0.3"/>
    <row r="2329" customFormat="1" x14ac:dyDescent="0.3"/>
    <row r="2330" customFormat="1" x14ac:dyDescent="0.3"/>
    <row r="2331" customFormat="1" x14ac:dyDescent="0.3"/>
    <row r="2332" customFormat="1" x14ac:dyDescent="0.3"/>
    <row r="2333" customFormat="1" x14ac:dyDescent="0.3"/>
    <row r="2334" customFormat="1" x14ac:dyDescent="0.3"/>
    <row r="2335" customFormat="1" x14ac:dyDescent="0.3"/>
    <row r="2336" customFormat="1" x14ac:dyDescent="0.3"/>
    <row r="2337" customFormat="1" x14ac:dyDescent="0.3"/>
    <row r="2338" customFormat="1" x14ac:dyDescent="0.3"/>
    <row r="2339" customFormat="1" x14ac:dyDescent="0.3"/>
    <row r="2340" customFormat="1" x14ac:dyDescent="0.3"/>
    <row r="2341" customFormat="1" x14ac:dyDescent="0.3"/>
    <row r="2342" customFormat="1" x14ac:dyDescent="0.3"/>
    <row r="2343" customFormat="1" x14ac:dyDescent="0.3"/>
    <row r="2344" customFormat="1" x14ac:dyDescent="0.3"/>
    <row r="2345" customFormat="1" x14ac:dyDescent="0.3"/>
    <row r="2346" customFormat="1" x14ac:dyDescent="0.3"/>
    <row r="2347" customFormat="1" x14ac:dyDescent="0.3"/>
    <row r="2348" customFormat="1" x14ac:dyDescent="0.3"/>
    <row r="2349" customFormat="1" x14ac:dyDescent="0.3"/>
    <row r="2350" customFormat="1" x14ac:dyDescent="0.3"/>
    <row r="2351" customFormat="1" x14ac:dyDescent="0.3"/>
    <row r="2352" customFormat="1" x14ac:dyDescent="0.3"/>
    <row r="2353" customFormat="1" x14ac:dyDescent="0.3"/>
    <row r="2354" customFormat="1" x14ac:dyDescent="0.3"/>
    <row r="2355" customFormat="1" x14ac:dyDescent="0.3"/>
    <row r="2356" customFormat="1" x14ac:dyDescent="0.3"/>
    <row r="2357" customFormat="1" x14ac:dyDescent="0.3"/>
    <row r="2358" customFormat="1" x14ac:dyDescent="0.3"/>
    <row r="2359" customFormat="1" x14ac:dyDescent="0.3"/>
    <row r="2360" customFormat="1" x14ac:dyDescent="0.3"/>
    <row r="2361" customFormat="1" x14ac:dyDescent="0.3"/>
    <row r="2362" customFormat="1" x14ac:dyDescent="0.3"/>
    <row r="2363" customFormat="1" x14ac:dyDescent="0.3"/>
    <row r="2364" customFormat="1" x14ac:dyDescent="0.3"/>
    <row r="2365" customFormat="1" x14ac:dyDescent="0.3"/>
    <row r="2366" customFormat="1" x14ac:dyDescent="0.3"/>
    <row r="2367" customFormat="1" x14ac:dyDescent="0.3"/>
    <row r="2368" customFormat="1" x14ac:dyDescent="0.3"/>
    <row r="2369" customFormat="1" x14ac:dyDescent="0.3"/>
    <row r="2370" customFormat="1" x14ac:dyDescent="0.3"/>
    <row r="2371" customFormat="1" x14ac:dyDescent="0.3"/>
    <row r="2372" customFormat="1" x14ac:dyDescent="0.3"/>
    <row r="2373" customFormat="1" x14ac:dyDescent="0.3"/>
    <row r="2374" customFormat="1" x14ac:dyDescent="0.3"/>
    <row r="2375" customFormat="1" x14ac:dyDescent="0.3"/>
    <row r="2376" customFormat="1" x14ac:dyDescent="0.3"/>
    <row r="2377" customFormat="1" x14ac:dyDescent="0.3"/>
    <row r="2378" customFormat="1" x14ac:dyDescent="0.3"/>
    <row r="2379" customFormat="1" x14ac:dyDescent="0.3"/>
    <row r="2380" customFormat="1" x14ac:dyDescent="0.3"/>
    <row r="2381" customFormat="1" x14ac:dyDescent="0.3"/>
    <row r="2382" customFormat="1" x14ac:dyDescent="0.3"/>
    <row r="2383" customFormat="1" x14ac:dyDescent="0.3"/>
    <row r="2384" customFormat="1" x14ac:dyDescent="0.3"/>
    <row r="2385" customFormat="1" x14ac:dyDescent="0.3"/>
    <row r="2386" customFormat="1" x14ac:dyDescent="0.3"/>
    <row r="2387" customFormat="1" x14ac:dyDescent="0.3"/>
    <row r="2388" customFormat="1" x14ac:dyDescent="0.3"/>
    <row r="2389" customFormat="1" x14ac:dyDescent="0.3"/>
    <row r="2390" customFormat="1" x14ac:dyDescent="0.3"/>
    <row r="2391" customFormat="1" x14ac:dyDescent="0.3"/>
    <row r="2392" customFormat="1" x14ac:dyDescent="0.3"/>
    <row r="2393" customFormat="1" x14ac:dyDescent="0.3"/>
    <row r="2394" customFormat="1" x14ac:dyDescent="0.3"/>
    <row r="2395" customFormat="1" x14ac:dyDescent="0.3"/>
    <row r="2396" customFormat="1" x14ac:dyDescent="0.3"/>
    <row r="2397" customFormat="1" x14ac:dyDescent="0.3"/>
    <row r="2398" customFormat="1" x14ac:dyDescent="0.3"/>
    <row r="2399" customFormat="1" x14ac:dyDescent="0.3"/>
    <row r="2400" customFormat="1" x14ac:dyDescent="0.3"/>
    <row r="2401" customFormat="1" x14ac:dyDescent="0.3"/>
    <row r="2402" customFormat="1" x14ac:dyDescent="0.3"/>
    <row r="2403" customFormat="1" x14ac:dyDescent="0.3"/>
    <row r="2404" customFormat="1" x14ac:dyDescent="0.3"/>
    <row r="2405" customFormat="1" x14ac:dyDescent="0.3"/>
    <row r="2406" customFormat="1" x14ac:dyDescent="0.3"/>
    <row r="2407" customFormat="1" x14ac:dyDescent="0.3"/>
    <row r="2408" customFormat="1" x14ac:dyDescent="0.3"/>
    <row r="2409" customFormat="1" x14ac:dyDescent="0.3"/>
    <row r="2410" customFormat="1" x14ac:dyDescent="0.3"/>
    <row r="2411" customFormat="1" x14ac:dyDescent="0.3"/>
    <row r="2412" customFormat="1" x14ac:dyDescent="0.3"/>
    <row r="2413" customFormat="1" x14ac:dyDescent="0.3"/>
    <row r="2414" customFormat="1" x14ac:dyDescent="0.3"/>
    <row r="2415" customFormat="1" x14ac:dyDescent="0.3"/>
    <row r="2416" customFormat="1" x14ac:dyDescent="0.3"/>
    <row r="2417" customFormat="1" x14ac:dyDescent="0.3"/>
    <row r="2418" customFormat="1" x14ac:dyDescent="0.3"/>
    <row r="2419" customFormat="1" x14ac:dyDescent="0.3"/>
    <row r="2420" customFormat="1" x14ac:dyDescent="0.3"/>
    <row r="2421" customFormat="1" x14ac:dyDescent="0.3"/>
    <row r="2422" customFormat="1" x14ac:dyDescent="0.3"/>
    <row r="2423" customFormat="1" x14ac:dyDescent="0.3"/>
    <row r="2424" customFormat="1" x14ac:dyDescent="0.3"/>
    <row r="2425" customFormat="1" x14ac:dyDescent="0.3"/>
    <row r="2426" customFormat="1" x14ac:dyDescent="0.3"/>
    <row r="2427" customFormat="1" x14ac:dyDescent="0.3"/>
    <row r="2428" customFormat="1" x14ac:dyDescent="0.3"/>
    <row r="2429" customFormat="1" x14ac:dyDescent="0.3"/>
    <row r="2430" customFormat="1" x14ac:dyDescent="0.3"/>
    <row r="2431" customFormat="1" x14ac:dyDescent="0.3"/>
    <row r="2432" customFormat="1" x14ac:dyDescent="0.3"/>
    <row r="2433" customFormat="1" x14ac:dyDescent="0.3"/>
    <row r="2434" customFormat="1" x14ac:dyDescent="0.3"/>
    <row r="2435" customFormat="1" x14ac:dyDescent="0.3"/>
    <row r="2436" customFormat="1" x14ac:dyDescent="0.3"/>
    <row r="2437" customFormat="1" x14ac:dyDescent="0.3"/>
    <row r="2438" customFormat="1" x14ac:dyDescent="0.3"/>
    <row r="2439" customFormat="1" x14ac:dyDescent="0.3"/>
    <row r="2440" customFormat="1" x14ac:dyDescent="0.3"/>
    <row r="2441" customFormat="1" x14ac:dyDescent="0.3"/>
    <row r="2442" customFormat="1" x14ac:dyDescent="0.3"/>
    <row r="2443" customFormat="1" x14ac:dyDescent="0.3"/>
    <row r="2444" customFormat="1" x14ac:dyDescent="0.3"/>
    <row r="2445" customFormat="1" x14ac:dyDescent="0.3"/>
    <row r="2446" customFormat="1" x14ac:dyDescent="0.3"/>
    <row r="2447" customFormat="1" x14ac:dyDescent="0.3"/>
    <row r="2448" customFormat="1" x14ac:dyDescent="0.3"/>
    <row r="2449" customFormat="1" x14ac:dyDescent="0.3"/>
    <row r="2450" customFormat="1" x14ac:dyDescent="0.3"/>
    <row r="2451" customFormat="1" x14ac:dyDescent="0.3"/>
    <row r="2452" customFormat="1" x14ac:dyDescent="0.3"/>
    <row r="2453" customFormat="1" x14ac:dyDescent="0.3"/>
    <row r="2454" customFormat="1" x14ac:dyDescent="0.3"/>
    <row r="2455" customFormat="1" x14ac:dyDescent="0.3"/>
    <row r="2456" customFormat="1" x14ac:dyDescent="0.3"/>
    <row r="2457" customFormat="1" x14ac:dyDescent="0.3"/>
    <row r="2458" customFormat="1" x14ac:dyDescent="0.3"/>
    <row r="2459" customFormat="1" x14ac:dyDescent="0.3"/>
    <row r="2460" customFormat="1" x14ac:dyDescent="0.3"/>
    <row r="2461" customFormat="1" x14ac:dyDescent="0.3"/>
    <row r="2462" customFormat="1" x14ac:dyDescent="0.3"/>
    <row r="2463" customFormat="1" x14ac:dyDescent="0.3"/>
    <row r="2464" customFormat="1" x14ac:dyDescent="0.3"/>
    <row r="2465" customFormat="1" x14ac:dyDescent="0.3"/>
    <row r="2466" customFormat="1" x14ac:dyDescent="0.3"/>
    <row r="2467" customFormat="1" x14ac:dyDescent="0.3"/>
    <row r="2468" customFormat="1" x14ac:dyDescent="0.3"/>
    <row r="2469" customFormat="1" x14ac:dyDescent="0.3"/>
    <row r="2470" customFormat="1" x14ac:dyDescent="0.3"/>
    <row r="2471" customFormat="1" x14ac:dyDescent="0.3"/>
    <row r="2472" customFormat="1" x14ac:dyDescent="0.3"/>
    <row r="2473" customFormat="1" x14ac:dyDescent="0.3"/>
    <row r="2474" customFormat="1" x14ac:dyDescent="0.3"/>
    <row r="2475" customFormat="1" x14ac:dyDescent="0.3"/>
    <row r="2476" customFormat="1" x14ac:dyDescent="0.3"/>
    <row r="2477" customFormat="1" x14ac:dyDescent="0.3"/>
    <row r="2478" customFormat="1" x14ac:dyDescent="0.3"/>
    <row r="2479" customFormat="1" x14ac:dyDescent="0.3"/>
    <row r="2480" customFormat="1" x14ac:dyDescent="0.3"/>
    <row r="2481" customFormat="1" x14ac:dyDescent="0.3"/>
    <row r="2482" customFormat="1" x14ac:dyDescent="0.3"/>
    <row r="2483" customFormat="1" x14ac:dyDescent="0.3"/>
    <row r="2484" customFormat="1" x14ac:dyDescent="0.3"/>
    <row r="2485" customFormat="1" x14ac:dyDescent="0.3"/>
    <row r="2486" customFormat="1" x14ac:dyDescent="0.3"/>
    <row r="2487" customFormat="1" x14ac:dyDescent="0.3"/>
    <row r="2488" customFormat="1" x14ac:dyDescent="0.3"/>
    <row r="2489" customFormat="1" x14ac:dyDescent="0.3"/>
    <row r="2490" customFormat="1" x14ac:dyDescent="0.3"/>
    <row r="2491" customFormat="1" x14ac:dyDescent="0.3"/>
    <row r="2492" customFormat="1" x14ac:dyDescent="0.3"/>
    <row r="2493" customFormat="1" x14ac:dyDescent="0.3"/>
    <row r="2494" customFormat="1" x14ac:dyDescent="0.3"/>
    <row r="2495" customFormat="1" x14ac:dyDescent="0.3"/>
    <row r="2496" customFormat="1" x14ac:dyDescent="0.3"/>
    <row r="2497" customFormat="1" x14ac:dyDescent="0.3"/>
    <row r="2498" customFormat="1" x14ac:dyDescent="0.3"/>
    <row r="2499" customFormat="1" x14ac:dyDescent="0.3"/>
    <row r="2500" customFormat="1" x14ac:dyDescent="0.3"/>
    <row r="2501" customFormat="1" x14ac:dyDescent="0.3"/>
    <row r="2502" customFormat="1" x14ac:dyDescent="0.3"/>
    <row r="2503" customFormat="1" x14ac:dyDescent="0.3"/>
    <row r="2504" customFormat="1" x14ac:dyDescent="0.3"/>
    <row r="2505" customFormat="1" x14ac:dyDescent="0.3"/>
    <row r="2506" customFormat="1" x14ac:dyDescent="0.3"/>
    <row r="2507" customFormat="1" x14ac:dyDescent="0.3"/>
    <row r="2508" customFormat="1" x14ac:dyDescent="0.3"/>
    <row r="2509" customFormat="1" x14ac:dyDescent="0.3"/>
    <row r="2510" customFormat="1" x14ac:dyDescent="0.3"/>
    <row r="2511" customFormat="1" x14ac:dyDescent="0.3"/>
    <row r="2512" customFormat="1" x14ac:dyDescent="0.3"/>
    <row r="2513" customFormat="1" x14ac:dyDescent="0.3"/>
    <row r="2514" customFormat="1" x14ac:dyDescent="0.3"/>
    <row r="2515" customFormat="1" x14ac:dyDescent="0.3"/>
    <row r="2516" customFormat="1" x14ac:dyDescent="0.3"/>
    <row r="2517" customFormat="1" x14ac:dyDescent="0.3"/>
    <row r="2518" customFormat="1" x14ac:dyDescent="0.3"/>
    <row r="2519" customFormat="1" x14ac:dyDescent="0.3"/>
    <row r="2520" customFormat="1" x14ac:dyDescent="0.3"/>
    <row r="2521" customFormat="1" x14ac:dyDescent="0.3"/>
    <row r="2522" customFormat="1" x14ac:dyDescent="0.3"/>
    <row r="2523" customFormat="1" x14ac:dyDescent="0.3"/>
    <row r="2524" customFormat="1" x14ac:dyDescent="0.3"/>
    <row r="2525" customFormat="1" x14ac:dyDescent="0.3"/>
    <row r="2526" customFormat="1" x14ac:dyDescent="0.3"/>
    <row r="2527" customFormat="1" x14ac:dyDescent="0.3"/>
    <row r="2528" customFormat="1" x14ac:dyDescent="0.3"/>
    <row r="2529" customFormat="1" x14ac:dyDescent="0.3"/>
    <row r="2530" customFormat="1" x14ac:dyDescent="0.3"/>
    <row r="2531" customFormat="1" x14ac:dyDescent="0.3"/>
    <row r="2532" customFormat="1" x14ac:dyDescent="0.3"/>
    <row r="2533" customFormat="1" x14ac:dyDescent="0.3"/>
    <row r="2534" customFormat="1" x14ac:dyDescent="0.3"/>
    <row r="2535" customFormat="1" x14ac:dyDescent="0.3"/>
    <row r="2536" customFormat="1" x14ac:dyDescent="0.3"/>
    <row r="2537" customFormat="1" x14ac:dyDescent="0.3"/>
    <row r="2538" customFormat="1" x14ac:dyDescent="0.3"/>
    <row r="2539" customFormat="1" x14ac:dyDescent="0.3"/>
    <row r="2540" customFormat="1" x14ac:dyDescent="0.3"/>
    <row r="2541" customFormat="1" x14ac:dyDescent="0.3"/>
    <row r="2542" customFormat="1" x14ac:dyDescent="0.3"/>
    <row r="2543" customFormat="1" x14ac:dyDescent="0.3"/>
    <row r="2544" customFormat="1" x14ac:dyDescent="0.3"/>
    <row r="2545" customFormat="1" x14ac:dyDescent="0.3"/>
    <row r="2546" customFormat="1" x14ac:dyDescent="0.3"/>
    <row r="2547" customFormat="1" x14ac:dyDescent="0.3"/>
    <row r="2548" customFormat="1" x14ac:dyDescent="0.3"/>
    <row r="2549" customFormat="1" x14ac:dyDescent="0.3"/>
    <row r="2550" customFormat="1" x14ac:dyDescent="0.3"/>
    <row r="2551" customFormat="1" x14ac:dyDescent="0.3"/>
    <row r="2552" customFormat="1" x14ac:dyDescent="0.3"/>
    <row r="2553" customFormat="1" x14ac:dyDescent="0.3"/>
    <row r="2554" customFormat="1" x14ac:dyDescent="0.3"/>
    <row r="2555" customFormat="1" x14ac:dyDescent="0.3"/>
    <row r="2556" customFormat="1" x14ac:dyDescent="0.3"/>
    <row r="2557" customFormat="1" x14ac:dyDescent="0.3"/>
    <row r="2558" customFormat="1" x14ac:dyDescent="0.3"/>
    <row r="2559" customFormat="1" x14ac:dyDescent="0.3"/>
    <row r="2560" customFormat="1" x14ac:dyDescent="0.3"/>
    <row r="2561" customFormat="1" x14ac:dyDescent="0.3"/>
    <row r="2562" customFormat="1" x14ac:dyDescent="0.3"/>
    <row r="2563" customFormat="1" x14ac:dyDescent="0.3"/>
    <row r="2564" customFormat="1" x14ac:dyDescent="0.3"/>
    <row r="2565" customFormat="1" x14ac:dyDescent="0.3"/>
    <row r="2566" customFormat="1" x14ac:dyDescent="0.3"/>
    <row r="2567" customFormat="1" x14ac:dyDescent="0.3"/>
    <row r="2568" customFormat="1" x14ac:dyDescent="0.3"/>
    <row r="2569" customFormat="1" x14ac:dyDescent="0.3"/>
    <row r="2570" customFormat="1" x14ac:dyDescent="0.3"/>
    <row r="2571" customFormat="1" x14ac:dyDescent="0.3"/>
    <row r="2572" customFormat="1" x14ac:dyDescent="0.3"/>
    <row r="2573" customFormat="1" x14ac:dyDescent="0.3"/>
    <row r="2574" customFormat="1" x14ac:dyDescent="0.3"/>
    <row r="2575" customFormat="1" x14ac:dyDescent="0.3"/>
    <row r="2576" customFormat="1" x14ac:dyDescent="0.3"/>
    <row r="2577" customFormat="1" x14ac:dyDescent="0.3"/>
    <row r="2578" customFormat="1" x14ac:dyDescent="0.3"/>
    <row r="2579" customFormat="1" x14ac:dyDescent="0.3"/>
    <row r="2580" customFormat="1" x14ac:dyDescent="0.3"/>
    <row r="2581" customFormat="1" x14ac:dyDescent="0.3"/>
    <row r="2582" customFormat="1" x14ac:dyDescent="0.3"/>
    <row r="2583" customFormat="1" x14ac:dyDescent="0.3"/>
    <row r="2584" customFormat="1" x14ac:dyDescent="0.3"/>
    <row r="2585" customFormat="1" x14ac:dyDescent="0.3"/>
    <row r="2586" customFormat="1" x14ac:dyDescent="0.3"/>
    <row r="2587" customFormat="1" x14ac:dyDescent="0.3"/>
    <row r="2588" customFormat="1" x14ac:dyDescent="0.3"/>
    <row r="2589" customFormat="1" x14ac:dyDescent="0.3"/>
    <row r="2590" customFormat="1" x14ac:dyDescent="0.3"/>
    <row r="2591" customFormat="1" x14ac:dyDescent="0.3"/>
    <row r="2592" customFormat="1" x14ac:dyDescent="0.3"/>
    <row r="2593" customFormat="1" x14ac:dyDescent="0.3"/>
    <row r="2594" customFormat="1" x14ac:dyDescent="0.3"/>
    <row r="2595" customFormat="1" x14ac:dyDescent="0.3"/>
    <row r="2596" customFormat="1" x14ac:dyDescent="0.3"/>
    <row r="2597" customFormat="1" x14ac:dyDescent="0.3"/>
    <row r="2598" customFormat="1" x14ac:dyDescent="0.3"/>
    <row r="2599" customFormat="1" x14ac:dyDescent="0.3"/>
    <row r="2600" customFormat="1" x14ac:dyDescent="0.3"/>
    <row r="2601" customFormat="1" x14ac:dyDescent="0.3"/>
    <row r="2602" customFormat="1" x14ac:dyDescent="0.3"/>
    <row r="2603" customFormat="1" x14ac:dyDescent="0.3"/>
    <row r="2604" customFormat="1" x14ac:dyDescent="0.3"/>
    <row r="2605" customFormat="1" x14ac:dyDescent="0.3"/>
    <row r="2606" customFormat="1" x14ac:dyDescent="0.3"/>
    <row r="2607" customFormat="1" x14ac:dyDescent="0.3"/>
    <row r="2608" customFormat="1" x14ac:dyDescent="0.3"/>
    <row r="2609" customFormat="1" x14ac:dyDescent="0.3"/>
    <row r="2610" customFormat="1" x14ac:dyDescent="0.3"/>
    <row r="2611" customFormat="1" x14ac:dyDescent="0.3"/>
    <row r="2612" customFormat="1" x14ac:dyDescent="0.3"/>
    <row r="2613" customFormat="1" x14ac:dyDescent="0.3"/>
    <row r="2614" customFormat="1" x14ac:dyDescent="0.3"/>
    <row r="2615" customFormat="1" x14ac:dyDescent="0.3"/>
    <row r="2616" customFormat="1" x14ac:dyDescent="0.3"/>
    <row r="2617" customFormat="1" x14ac:dyDescent="0.3"/>
    <row r="2618" customFormat="1" x14ac:dyDescent="0.3"/>
    <row r="2619" customFormat="1" x14ac:dyDescent="0.3"/>
    <row r="2620" customFormat="1" x14ac:dyDescent="0.3"/>
    <row r="2621" customFormat="1" x14ac:dyDescent="0.3"/>
    <row r="2622" customFormat="1" x14ac:dyDescent="0.3"/>
    <row r="2623" customFormat="1" x14ac:dyDescent="0.3"/>
    <row r="2624" customFormat="1" x14ac:dyDescent="0.3"/>
    <row r="2625" customFormat="1" x14ac:dyDescent="0.3"/>
    <row r="2626" customFormat="1" x14ac:dyDescent="0.3"/>
    <row r="2627" customFormat="1" x14ac:dyDescent="0.3"/>
    <row r="2628" customFormat="1" x14ac:dyDescent="0.3"/>
    <row r="2629" customFormat="1" x14ac:dyDescent="0.3"/>
    <row r="2630" customFormat="1" x14ac:dyDescent="0.3"/>
    <row r="2631" customFormat="1" x14ac:dyDescent="0.3"/>
    <row r="2632" customFormat="1" x14ac:dyDescent="0.3"/>
    <row r="2633" customFormat="1" x14ac:dyDescent="0.3"/>
    <row r="2634" customFormat="1" x14ac:dyDescent="0.3"/>
    <row r="2635" customFormat="1" x14ac:dyDescent="0.3"/>
    <row r="2636" customFormat="1" x14ac:dyDescent="0.3"/>
    <row r="2637" customFormat="1" x14ac:dyDescent="0.3"/>
    <row r="2638" customFormat="1" x14ac:dyDescent="0.3"/>
    <row r="2639" customFormat="1" x14ac:dyDescent="0.3"/>
    <row r="2640" customFormat="1" x14ac:dyDescent="0.3"/>
    <row r="2641" customFormat="1" x14ac:dyDescent="0.3"/>
    <row r="2642" customFormat="1" x14ac:dyDescent="0.3"/>
    <row r="2643" customFormat="1" x14ac:dyDescent="0.3"/>
    <row r="2644" customFormat="1" x14ac:dyDescent="0.3"/>
    <row r="2645" customFormat="1" x14ac:dyDescent="0.3"/>
    <row r="2646" customFormat="1" x14ac:dyDescent="0.3"/>
    <row r="2647" customFormat="1" x14ac:dyDescent="0.3"/>
    <row r="2648" customFormat="1" x14ac:dyDescent="0.3"/>
    <row r="2649" customFormat="1" x14ac:dyDescent="0.3"/>
    <row r="2650" customFormat="1" x14ac:dyDescent="0.3"/>
    <row r="2651" customFormat="1" x14ac:dyDescent="0.3"/>
    <row r="2652" customFormat="1" x14ac:dyDescent="0.3"/>
    <row r="2653" customFormat="1" x14ac:dyDescent="0.3"/>
    <row r="2654" customFormat="1" x14ac:dyDescent="0.3"/>
    <row r="2655" customFormat="1" x14ac:dyDescent="0.3"/>
    <row r="2656" customFormat="1" x14ac:dyDescent="0.3"/>
    <row r="2657" customFormat="1" x14ac:dyDescent="0.3"/>
    <row r="2658" customFormat="1" x14ac:dyDescent="0.3"/>
    <row r="2659" customFormat="1" x14ac:dyDescent="0.3"/>
    <row r="2660" customFormat="1" x14ac:dyDescent="0.3"/>
    <row r="2661" customFormat="1" x14ac:dyDescent="0.3"/>
    <row r="2662" customFormat="1" x14ac:dyDescent="0.3"/>
    <row r="2663" customFormat="1" x14ac:dyDescent="0.3"/>
    <row r="2664" customFormat="1" x14ac:dyDescent="0.3"/>
    <row r="2665" customFormat="1" x14ac:dyDescent="0.3"/>
    <row r="2666" customFormat="1" x14ac:dyDescent="0.3"/>
    <row r="2667" customFormat="1" x14ac:dyDescent="0.3"/>
    <row r="2668" customFormat="1" x14ac:dyDescent="0.3"/>
    <row r="2669" customFormat="1" x14ac:dyDescent="0.3"/>
    <row r="2670" customFormat="1" x14ac:dyDescent="0.3"/>
    <row r="2671" customFormat="1" x14ac:dyDescent="0.3"/>
    <row r="2672" customFormat="1" x14ac:dyDescent="0.3"/>
    <row r="2673" customFormat="1" x14ac:dyDescent="0.3"/>
    <row r="2674" customFormat="1" x14ac:dyDescent="0.3"/>
    <row r="2675" customFormat="1" x14ac:dyDescent="0.3"/>
    <row r="2676" customFormat="1" x14ac:dyDescent="0.3"/>
    <row r="2677" customFormat="1" x14ac:dyDescent="0.3"/>
    <row r="2678" customFormat="1" x14ac:dyDescent="0.3"/>
    <row r="2679" customFormat="1" x14ac:dyDescent="0.3"/>
    <row r="2680" customFormat="1" x14ac:dyDescent="0.3"/>
    <row r="2681" customFormat="1" x14ac:dyDescent="0.3"/>
    <row r="2682" customFormat="1" x14ac:dyDescent="0.3"/>
    <row r="2683" customFormat="1" x14ac:dyDescent="0.3"/>
    <row r="2684" customFormat="1" x14ac:dyDescent="0.3"/>
    <row r="2685" customFormat="1" x14ac:dyDescent="0.3"/>
    <row r="2686" customFormat="1" x14ac:dyDescent="0.3"/>
    <row r="2687" customFormat="1" x14ac:dyDescent="0.3"/>
    <row r="2688" customFormat="1" x14ac:dyDescent="0.3"/>
    <row r="2689" customFormat="1" x14ac:dyDescent="0.3"/>
    <row r="2690" customFormat="1" x14ac:dyDescent="0.3"/>
    <row r="2691" customFormat="1" x14ac:dyDescent="0.3"/>
    <row r="2692" customFormat="1" x14ac:dyDescent="0.3"/>
    <row r="2693" customFormat="1" x14ac:dyDescent="0.3"/>
    <row r="2694" customFormat="1" x14ac:dyDescent="0.3"/>
    <row r="2695" customFormat="1" x14ac:dyDescent="0.3"/>
    <row r="2696" customFormat="1" x14ac:dyDescent="0.3"/>
    <row r="2697" customFormat="1" x14ac:dyDescent="0.3"/>
    <row r="2698" customFormat="1" x14ac:dyDescent="0.3"/>
    <row r="2699" customFormat="1" x14ac:dyDescent="0.3"/>
    <row r="2700" customFormat="1" x14ac:dyDescent="0.3"/>
    <row r="2701" customFormat="1" x14ac:dyDescent="0.3"/>
    <row r="2702" customFormat="1" x14ac:dyDescent="0.3"/>
    <row r="2703" customFormat="1" x14ac:dyDescent="0.3"/>
    <row r="2704" customFormat="1" x14ac:dyDescent="0.3"/>
    <row r="2705" customFormat="1" x14ac:dyDescent="0.3"/>
    <row r="2706" customFormat="1" x14ac:dyDescent="0.3"/>
    <row r="2707" customFormat="1" x14ac:dyDescent="0.3"/>
    <row r="2708" customFormat="1" x14ac:dyDescent="0.3"/>
    <row r="2709" customFormat="1" x14ac:dyDescent="0.3"/>
    <row r="2710" customFormat="1" x14ac:dyDescent="0.3"/>
    <row r="2711" customFormat="1" x14ac:dyDescent="0.3"/>
    <row r="2712" customFormat="1" x14ac:dyDescent="0.3"/>
    <row r="2713" customFormat="1" x14ac:dyDescent="0.3"/>
    <row r="2714" customFormat="1" x14ac:dyDescent="0.3"/>
    <row r="2715" customFormat="1" x14ac:dyDescent="0.3"/>
    <row r="2716" customFormat="1" x14ac:dyDescent="0.3"/>
    <row r="2717" customFormat="1" x14ac:dyDescent="0.3"/>
    <row r="2718" customFormat="1" x14ac:dyDescent="0.3"/>
    <row r="2719" customFormat="1" x14ac:dyDescent="0.3"/>
    <row r="2720" customFormat="1" x14ac:dyDescent="0.3"/>
    <row r="2721" customFormat="1" x14ac:dyDescent="0.3"/>
    <row r="2722" customFormat="1" x14ac:dyDescent="0.3"/>
    <row r="2723" customFormat="1" x14ac:dyDescent="0.3"/>
    <row r="2724" customFormat="1" x14ac:dyDescent="0.3"/>
    <row r="2725" customFormat="1" x14ac:dyDescent="0.3"/>
    <row r="2726" customFormat="1" x14ac:dyDescent="0.3"/>
    <row r="2727" customFormat="1" x14ac:dyDescent="0.3"/>
    <row r="2728" customFormat="1" x14ac:dyDescent="0.3"/>
    <row r="2729" customFormat="1" x14ac:dyDescent="0.3"/>
    <row r="2730" customFormat="1" x14ac:dyDescent="0.3"/>
    <row r="2731" customFormat="1" x14ac:dyDescent="0.3"/>
    <row r="2732" customFormat="1" x14ac:dyDescent="0.3"/>
    <row r="2733" customFormat="1" x14ac:dyDescent="0.3"/>
    <row r="2734" customFormat="1" x14ac:dyDescent="0.3"/>
    <row r="2735" customFormat="1" x14ac:dyDescent="0.3"/>
    <row r="2736" customFormat="1" x14ac:dyDescent="0.3"/>
    <row r="2737" customFormat="1" x14ac:dyDescent="0.3"/>
    <row r="2738" customFormat="1" x14ac:dyDescent="0.3"/>
    <row r="2739" customFormat="1" x14ac:dyDescent="0.3"/>
    <row r="2740" customFormat="1" x14ac:dyDescent="0.3"/>
    <row r="2741" customFormat="1" x14ac:dyDescent="0.3"/>
    <row r="2742" customFormat="1" x14ac:dyDescent="0.3"/>
    <row r="2743" customFormat="1" x14ac:dyDescent="0.3"/>
    <row r="2744" customFormat="1" x14ac:dyDescent="0.3"/>
    <row r="2745" customFormat="1" x14ac:dyDescent="0.3"/>
    <row r="2746" customFormat="1" x14ac:dyDescent="0.3"/>
    <row r="2747" customFormat="1" x14ac:dyDescent="0.3"/>
    <row r="2748" customFormat="1" x14ac:dyDescent="0.3"/>
    <row r="2749" customFormat="1" x14ac:dyDescent="0.3"/>
    <row r="2750" customFormat="1" x14ac:dyDescent="0.3"/>
    <row r="2751" customFormat="1" x14ac:dyDescent="0.3"/>
    <row r="2752" customFormat="1" x14ac:dyDescent="0.3"/>
    <row r="2753" customFormat="1" x14ac:dyDescent="0.3"/>
    <row r="2754" customFormat="1" x14ac:dyDescent="0.3"/>
    <row r="2755" customFormat="1" x14ac:dyDescent="0.3"/>
    <row r="2756" customFormat="1" x14ac:dyDescent="0.3"/>
    <row r="2757" customFormat="1" x14ac:dyDescent="0.3"/>
    <row r="2758" customFormat="1" x14ac:dyDescent="0.3"/>
    <row r="2759" customFormat="1" x14ac:dyDescent="0.3"/>
    <row r="2760" customFormat="1" x14ac:dyDescent="0.3"/>
    <row r="2761" customFormat="1" x14ac:dyDescent="0.3"/>
    <row r="2762" customFormat="1" x14ac:dyDescent="0.3"/>
    <row r="2763" customFormat="1" x14ac:dyDescent="0.3"/>
    <row r="2764" customFormat="1" x14ac:dyDescent="0.3"/>
    <row r="2765" customFormat="1" x14ac:dyDescent="0.3"/>
    <row r="2766" customFormat="1" x14ac:dyDescent="0.3"/>
    <row r="2767" customFormat="1" x14ac:dyDescent="0.3"/>
    <row r="2768" customFormat="1" x14ac:dyDescent="0.3"/>
    <row r="2769" customFormat="1" x14ac:dyDescent="0.3"/>
    <row r="2770" customFormat="1" x14ac:dyDescent="0.3"/>
    <row r="2771" customFormat="1" x14ac:dyDescent="0.3"/>
    <row r="2772" customFormat="1" x14ac:dyDescent="0.3"/>
    <row r="2773" customFormat="1" x14ac:dyDescent="0.3"/>
    <row r="2774" customFormat="1" x14ac:dyDescent="0.3"/>
    <row r="2775" customFormat="1" x14ac:dyDescent="0.3"/>
    <row r="2776" customFormat="1" x14ac:dyDescent="0.3"/>
    <row r="2777" customFormat="1" x14ac:dyDescent="0.3"/>
    <row r="2778" customFormat="1" x14ac:dyDescent="0.3"/>
    <row r="2779" customFormat="1" x14ac:dyDescent="0.3"/>
    <row r="2780" customFormat="1" x14ac:dyDescent="0.3"/>
    <row r="2781" customFormat="1" x14ac:dyDescent="0.3"/>
    <row r="2782" customFormat="1" x14ac:dyDescent="0.3"/>
    <row r="2783" customFormat="1" x14ac:dyDescent="0.3"/>
    <row r="2784" customFormat="1" x14ac:dyDescent="0.3"/>
    <row r="2785" customFormat="1" x14ac:dyDescent="0.3"/>
    <row r="2786" customFormat="1" x14ac:dyDescent="0.3"/>
    <row r="2787" customFormat="1" x14ac:dyDescent="0.3"/>
    <row r="2788" customFormat="1" x14ac:dyDescent="0.3"/>
    <row r="2789" customFormat="1" x14ac:dyDescent="0.3"/>
    <row r="2790" customFormat="1" x14ac:dyDescent="0.3"/>
    <row r="2791" customFormat="1" x14ac:dyDescent="0.3"/>
    <row r="2792" customFormat="1" x14ac:dyDescent="0.3"/>
    <row r="2793" customFormat="1" x14ac:dyDescent="0.3"/>
    <row r="2794" customFormat="1" x14ac:dyDescent="0.3"/>
    <row r="2795" customFormat="1" x14ac:dyDescent="0.3"/>
    <row r="2796" customFormat="1" x14ac:dyDescent="0.3"/>
    <row r="2797" customFormat="1" x14ac:dyDescent="0.3"/>
    <row r="2798" customFormat="1" x14ac:dyDescent="0.3"/>
    <row r="2799" customFormat="1" x14ac:dyDescent="0.3"/>
    <row r="2800" customFormat="1" x14ac:dyDescent="0.3"/>
    <row r="2801" customFormat="1" x14ac:dyDescent="0.3"/>
    <row r="2802" customFormat="1" x14ac:dyDescent="0.3"/>
    <row r="2803" customFormat="1" x14ac:dyDescent="0.3"/>
    <row r="2804" customFormat="1" x14ac:dyDescent="0.3"/>
    <row r="2805" customFormat="1" x14ac:dyDescent="0.3"/>
    <row r="2806" customFormat="1" x14ac:dyDescent="0.3"/>
    <row r="2807" customFormat="1" x14ac:dyDescent="0.3"/>
    <row r="2808" customFormat="1" x14ac:dyDescent="0.3"/>
    <row r="2809" customFormat="1" x14ac:dyDescent="0.3"/>
    <row r="2810" customFormat="1" x14ac:dyDescent="0.3"/>
    <row r="2811" customFormat="1" x14ac:dyDescent="0.3"/>
    <row r="2812" customFormat="1" x14ac:dyDescent="0.3"/>
    <row r="2813" customFormat="1" x14ac:dyDescent="0.3"/>
    <row r="2814" customFormat="1" x14ac:dyDescent="0.3"/>
    <row r="2815" customFormat="1" x14ac:dyDescent="0.3"/>
    <row r="2816" customFormat="1" x14ac:dyDescent="0.3"/>
    <row r="2817" customFormat="1" x14ac:dyDescent="0.3"/>
    <row r="2818" customFormat="1" x14ac:dyDescent="0.3"/>
    <row r="2819" customFormat="1" x14ac:dyDescent="0.3"/>
    <row r="2820" customFormat="1" x14ac:dyDescent="0.3"/>
    <row r="2821" customFormat="1" x14ac:dyDescent="0.3"/>
    <row r="2822" customFormat="1" x14ac:dyDescent="0.3"/>
    <row r="2823" customFormat="1" x14ac:dyDescent="0.3"/>
    <row r="2824" customFormat="1" x14ac:dyDescent="0.3"/>
    <row r="2825" customFormat="1" x14ac:dyDescent="0.3"/>
    <row r="2826" customFormat="1" x14ac:dyDescent="0.3"/>
    <row r="2827" customFormat="1" x14ac:dyDescent="0.3"/>
    <row r="2828" customFormat="1" x14ac:dyDescent="0.3"/>
    <row r="2829" customFormat="1" x14ac:dyDescent="0.3"/>
    <row r="2830" customFormat="1" x14ac:dyDescent="0.3"/>
    <row r="2831" customFormat="1" x14ac:dyDescent="0.3"/>
    <row r="2832" customFormat="1" x14ac:dyDescent="0.3"/>
    <row r="2833" customFormat="1" x14ac:dyDescent="0.3"/>
    <row r="2834" customFormat="1" x14ac:dyDescent="0.3"/>
    <row r="2835" customFormat="1" x14ac:dyDescent="0.3"/>
    <row r="2836" customFormat="1" x14ac:dyDescent="0.3"/>
    <row r="2837" customFormat="1" x14ac:dyDescent="0.3"/>
    <row r="2838" customFormat="1" x14ac:dyDescent="0.3"/>
    <row r="2839" customFormat="1" x14ac:dyDescent="0.3"/>
    <row r="2840" customFormat="1" x14ac:dyDescent="0.3"/>
    <row r="2841" customFormat="1" x14ac:dyDescent="0.3"/>
    <row r="2842" customFormat="1" x14ac:dyDescent="0.3"/>
    <row r="2843" customFormat="1" x14ac:dyDescent="0.3"/>
    <row r="2844" customFormat="1" x14ac:dyDescent="0.3"/>
    <row r="2845" customFormat="1" x14ac:dyDescent="0.3"/>
    <row r="2846" customFormat="1" x14ac:dyDescent="0.3"/>
    <row r="2847" customFormat="1" x14ac:dyDescent="0.3"/>
    <row r="2848" customFormat="1" x14ac:dyDescent="0.3"/>
    <row r="2849" customFormat="1" x14ac:dyDescent="0.3"/>
    <row r="2850" customFormat="1" x14ac:dyDescent="0.3"/>
    <row r="2851" customFormat="1" x14ac:dyDescent="0.3"/>
    <row r="2852" customFormat="1" x14ac:dyDescent="0.3"/>
    <row r="2853" customFormat="1" x14ac:dyDescent="0.3"/>
    <row r="2854" customFormat="1" x14ac:dyDescent="0.3"/>
    <row r="2855" customFormat="1" x14ac:dyDescent="0.3"/>
    <row r="2856" customFormat="1" x14ac:dyDescent="0.3"/>
    <row r="2857" customFormat="1" x14ac:dyDescent="0.3"/>
    <row r="2858" customFormat="1" x14ac:dyDescent="0.3"/>
    <row r="2859" customFormat="1" x14ac:dyDescent="0.3"/>
    <row r="2860" customFormat="1" x14ac:dyDescent="0.3"/>
    <row r="2861" customFormat="1" x14ac:dyDescent="0.3"/>
    <row r="2862" customFormat="1" x14ac:dyDescent="0.3"/>
    <row r="2863" customFormat="1" x14ac:dyDescent="0.3"/>
    <row r="2864" customFormat="1" x14ac:dyDescent="0.3"/>
    <row r="2865" customFormat="1" x14ac:dyDescent="0.3"/>
    <row r="2866" customFormat="1" x14ac:dyDescent="0.3"/>
    <row r="2867" customFormat="1" x14ac:dyDescent="0.3"/>
    <row r="2868" customFormat="1" x14ac:dyDescent="0.3"/>
    <row r="2869" customFormat="1" x14ac:dyDescent="0.3"/>
    <row r="2870" customFormat="1" x14ac:dyDescent="0.3"/>
    <row r="2871" customFormat="1" x14ac:dyDescent="0.3"/>
    <row r="2872" customFormat="1" x14ac:dyDescent="0.3"/>
    <row r="2873" customFormat="1" x14ac:dyDescent="0.3"/>
    <row r="2874" customFormat="1" x14ac:dyDescent="0.3"/>
    <row r="2875" customFormat="1" x14ac:dyDescent="0.3"/>
    <row r="2876" customFormat="1" x14ac:dyDescent="0.3"/>
    <row r="2877" customFormat="1" x14ac:dyDescent="0.3"/>
    <row r="2878" customFormat="1" x14ac:dyDescent="0.3"/>
    <row r="2879" customFormat="1" x14ac:dyDescent="0.3"/>
    <row r="2880" customFormat="1" x14ac:dyDescent="0.3"/>
    <row r="2881" customFormat="1" x14ac:dyDescent="0.3"/>
    <row r="2882" customFormat="1" x14ac:dyDescent="0.3"/>
    <row r="2883" customFormat="1" x14ac:dyDescent="0.3"/>
    <row r="2884" customFormat="1" x14ac:dyDescent="0.3"/>
    <row r="2885" customFormat="1" x14ac:dyDescent="0.3"/>
    <row r="2886" customFormat="1" x14ac:dyDescent="0.3"/>
    <row r="2887" customFormat="1" x14ac:dyDescent="0.3"/>
    <row r="2888" customFormat="1" x14ac:dyDescent="0.3"/>
    <row r="2889" customFormat="1" x14ac:dyDescent="0.3"/>
    <row r="2890" customFormat="1" x14ac:dyDescent="0.3"/>
    <row r="2891" customFormat="1" x14ac:dyDescent="0.3"/>
    <row r="2892" customFormat="1" x14ac:dyDescent="0.3"/>
    <row r="2893" customFormat="1" x14ac:dyDescent="0.3"/>
    <row r="2894" customFormat="1" x14ac:dyDescent="0.3"/>
    <row r="2895" customFormat="1" x14ac:dyDescent="0.3"/>
    <row r="2896" customFormat="1" x14ac:dyDescent="0.3"/>
    <row r="2897" customFormat="1" x14ac:dyDescent="0.3"/>
    <row r="2898" customFormat="1" x14ac:dyDescent="0.3"/>
    <row r="2899" customFormat="1" x14ac:dyDescent="0.3"/>
    <row r="2900" customFormat="1" x14ac:dyDescent="0.3"/>
    <row r="2901" customFormat="1" x14ac:dyDescent="0.3"/>
    <row r="2902" customFormat="1" x14ac:dyDescent="0.3"/>
    <row r="2903" customFormat="1" x14ac:dyDescent="0.3"/>
    <row r="2904" customFormat="1" x14ac:dyDescent="0.3"/>
    <row r="2905" customFormat="1" x14ac:dyDescent="0.3"/>
    <row r="2906" customFormat="1" x14ac:dyDescent="0.3"/>
    <row r="2907" customFormat="1" x14ac:dyDescent="0.3"/>
    <row r="2908" customFormat="1" x14ac:dyDescent="0.3"/>
    <row r="2909" customFormat="1" x14ac:dyDescent="0.3"/>
    <row r="2910" customFormat="1" x14ac:dyDescent="0.3"/>
    <row r="2911" customFormat="1" x14ac:dyDescent="0.3"/>
    <row r="2912" customFormat="1" x14ac:dyDescent="0.3"/>
    <row r="2913" customFormat="1" x14ac:dyDescent="0.3"/>
    <row r="2914" customFormat="1" x14ac:dyDescent="0.3"/>
    <row r="2915" customFormat="1" x14ac:dyDescent="0.3"/>
    <row r="2916" customFormat="1" x14ac:dyDescent="0.3"/>
    <row r="2917" customFormat="1" x14ac:dyDescent="0.3"/>
    <row r="2918" customFormat="1" x14ac:dyDescent="0.3"/>
    <row r="2919" customFormat="1" x14ac:dyDescent="0.3"/>
    <row r="2920" customFormat="1" x14ac:dyDescent="0.3"/>
    <row r="2921" customFormat="1" x14ac:dyDescent="0.3"/>
    <row r="2922" customFormat="1" x14ac:dyDescent="0.3"/>
    <row r="2923" customFormat="1" x14ac:dyDescent="0.3"/>
    <row r="2924" customFormat="1" x14ac:dyDescent="0.3"/>
    <row r="2925" customFormat="1" x14ac:dyDescent="0.3"/>
    <row r="2926" customFormat="1" x14ac:dyDescent="0.3"/>
    <row r="2927" customFormat="1" x14ac:dyDescent="0.3"/>
    <row r="2928" customFormat="1" x14ac:dyDescent="0.3"/>
    <row r="2929" customFormat="1" x14ac:dyDescent="0.3"/>
    <row r="2930" customFormat="1" x14ac:dyDescent="0.3"/>
    <row r="2931" customFormat="1" x14ac:dyDescent="0.3"/>
    <row r="2932" customFormat="1" x14ac:dyDescent="0.3"/>
    <row r="2933" customFormat="1" x14ac:dyDescent="0.3"/>
    <row r="2934" customFormat="1" x14ac:dyDescent="0.3"/>
    <row r="2935" customFormat="1" x14ac:dyDescent="0.3"/>
    <row r="2936" customFormat="1" x14ac:dyDescent="0.3"/>
    <row r="2937" customFormat="1" x14ac:dyDescent="0.3"/>
    <row r="2938" customFormat="1" x14ac:dyDescent="0.3"/>
    <row r="2939" customFormat="1" x14ac:dyDescent="0.3"/>
    <row r="2940" customFormat="1" x14ac:dyDescent="0.3"/>
    <row r="2941" customFormat="1" x14ac:dyDescent="0.3"/>
    <row r="2942" customFormat="1" x14ac:dyDescent="0.3"/>
    <row r="2943" customFormat="1" x14ac:dyDescent="0.3"/>
    <row r="2944" customFormat="1" x14ac:dyDescent="0.3"/>
    <row r="2945" customFormat="1" x14ac:dyDescent="0.3"/>
    <row r="2946" customFormat="1" x14ac:dyDescent="0.3"/>
    <row r="2947" customFormat="1" x14ac:dyDescent="0.3"/>
    <row r="2948" customFormat="1" x14ac:dyDescent="0.3"/>
    <row r="2949" customFormat="1" x14ac:dyDescent="0.3"/>
    <row r="2950" customFormat="1" x14ac:dyDescent="0.3"/>
    <row r="2951" customFormat="1" x14ac:dyDescent="0.3"/>
    <row r="2952" customFormat="1" x14ac:dyDescent="0.3"/>
    <row r="2953" customFormat="1" x14ac:dyDescent="0.3"/>
    <row r="2954" customFormat="1" x14ac:dyDescent="0.3"/>
    <row r="2955" customFormat="1" x14ac:dyDescent="0.3"/>
    <row r="2956" customFormat="1" x14ac:dyDescent="0.3"/>
    <row r="2957" customFormat="1" x14ac:dyDescent="0.3"/>
    <row r="2958" customFormat="1" x14ac:dyDescent="0.3"/>
    <row r="2959" customFormat="1" x14ac:dyDescent="0.3"/>
    <row r="2960" customFormat="1" x14ac:dyDescent="0.3"/>
    <row r="2961" customFormat="1" x14ac:dyDescent="0.3"/>
    <row r="2962" customFormat="1" x14ac:dyDescent="0.3"/>
    <row r="2963" customFormat="1" x14ac:dyDescent="0.3"/>
    <row r="2964" customFormat="1" x14ac:dyDescent="0.3"/>
    <row r="2965" customFormat="1" x14ac:dyDescent="0.3"/>
    <row r="2966" customFormat="1" x14ac:dyDescent="0.3"/>
    <row r="2967" customFormat="1" x14ac:dyDescent="0.3"/>
    <row r="2968" customFormat="1" x14ac:dyDescent="0.3"/>
    <row r="2969" customFormat="1" x14ac:dyDescent="0.3"/>
    <row r="2970" customFormat="1" x14ac:dyDescent="0.3"/>
    <row r="2971" customFormat="1" x14ac:dyDescent="0.3"/>
    <row r="2972" customFormat="1" x14ac:dyDescent="0.3"/>
    <row r="2973" customFormat="1" x14ac:dyDescent="0.3"/>
    <row r="2974" customFormat="1" x14ac:dyDescent="0.3"/>
    <row r="2975" customFormat="1" x14ac:dyDescent="0.3"/>
    <row r="2976" customFormat="1" x14ac:dyDescent="0.3"/>
    <row r="2977" customFormat="1" x14ac:dyDescent="0.3"/>
    <row r="2978" customFormat="1" x14ac:dyDescent="0.3"/>
    <row r="2979" customFormat="1" x14ac:dyDescent="0.3"/>
    <row r="2980" customFormat="1" x14ac:dyDescent="0.3"/>
    <row r="2981" customFormat="1" x14ac:dyDescent="0.3"/>
    <row r="2982" customFormat="1" x14ac:dyDescent="0.3"/>
    <row r="2983" customFormat="1" x14ac:dyDescent="0.3"/>
    <row r="2984" customFormat="1" x14ac:dyDescent="0.3"/>
    <row r="2985" customFormat="1" x14ac:dyDescent="0.3"/>
    <row r="2986" customFormat="1" x14ac:dyDescent="0.3"/>
    <row r="2987" customFormat="1" x14ac:dyDescent="0.3"/>
    <row r="2988" customFormat="1" x14ac:dyDescent="0.3"/>
    <row r="2989" customFormat="1" x14ac:dyDescent="0.3"/>
    <row r="2990" customFormat="1" x14ac:dyDescent="0.3"/>
    <row r="2991" customFormat="1" x14ac:dyDescent="0.3"/>
    <row r="2992" customFormat="1" x14ac:dyDescent="0.3"/>
    <row r="2993" customFormat="1" x14ac:dyDescent="0.3"/>
    <row r="2994" customFormat="1" x14ac:dyDescent="0.3"/>
    <row r="2995" customFormat="1" x14ac:dyDescent="0.3"/>
  </sheetData>
  <dataValidations disablePrompts="1" count="1">
    <dataValidation type="list" allowBlank="1" showInputMessage="1" showErrorMessage="1" sqref="C12" xr:uid="{8B0D1A77-982A-43C7-B688-48463EB400B4}">
      <formula1>"claude-sonnet-5-5,claude-opus-5-5"</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853D4-D8EB-4681-8346-7AB5A5BD31F5}">
  <dimension ref="A1:R127"/>
  <sheetViews>
    <sheetView workbookViewId="0"/>
  </sheetViews>
  <sheetFormatPr defaultRowHeight="14.4" x14ac:dyDescent="0.3"/>
  <cols>
    <col min="1" max="1" width="13.77734375" customWidth="1"/>
    <col min="2" max="26" width="12.77734375" customWidth="1"/>
  </cols>
  <sheetData>
    <row r="1" spans="1:18" x14ac:dyDescent="0.3">
      <c r="A1" s="6" t="s">
        <v>34</v>
      </c>
    </row>
    <row r="2" spans="1:18" x14ac:dyDescent="0.3">
      <c r="A2" t="s">
        <v>6</v>
      </c>
      <c r="B2" t="s">
        <v>7</v>
      </c>
      <c r="C2" t="s">
        <v>0</v>
      </c>
      <c r="D2" t="s">
        <v>8</v>
      </c>
      <c r="E2" t="s">
        <v>9</v>
      </c>
      <c r="F2" t="s">
        <v>10</v>
      </c>
      <c r="G2" t="s">
        <v>1</v>
      </c>
      <c r="H2" t="s">
        <v>2</v>
      </c>
      <c r="I2" t="s">
        <v>3</v>
      </c>
      <c r="J2" t="s">
        <v>11</v>
      </c>
      <c r="K2" t="s">
        <v>4</v>
      </c>
      <c r="L2" t="s">
        <v>5</v>
      </c>
      <c r="M2" t="s">
        <v>35</v>
      </c>
      <c r="N2" t="s">
        <v>36</v>
      </c>
      <c r="O2" t="s">
        <v>37</v>
      </c>
      <c r="P2" t="s">
        <v>38</v>
      </c>
      <c r="Q2" t="s">
        <v>39</v>
      </c>
      <c r="R2" t="s">
        <v>40</v>
      </c>
    </row>
    <row r="3" spans="1:18" x14ac:dyDescent="0.3">
      <c r="A3" s="21">
        <v>46134</v>
      </c>
      <c r="B3">
        <v>24470.849609375</v>
      </c>
      <c r="C3">
        <v>24515.94921875</v>
      </c>
      <c r="D3">
        <v>24352.900390625</v>
      </c>
      <c r="E3">
        <v>24378.099609375</v>
      </c>
      <c r="F3">
        <v>440500</v>
      </c>
      <c r="G3">
        <v>24378.099609375</v>
      </c>
      <c r="H3">
        <v>24378.099609375</v>
      </c>
      <c r="K3">
        <v>0</v>
      </c>
      <c r="L3">
        <v>0</v>
      </c>
    </row>
    <row r="4" spans="1:18" x14ac:dyDescent="0.3">
      <c r="A4" s="21">
        <v>46135</v>
      </c>
      <c r="B4">
        <v>24202.349609375</v>
      </c>
      <c r="C4">
        <v>24310.19921875</v>
      </c>
      <c r="D4">
        <v>24134.80078125</v>
      </c>
      <c r="E4">
        <v>24173.05078125</v>
      </c>
      <c r="F4">
        <v>467500</v>
      </c>
      <c r="G4">
        <v>24267.031494140625</v>
      </c>
      <c r="H4">
        <v>24271.631948617785</v>
      </c>
      <c r="I4">
        <v>0</v>
      </c>
      <c r="K4">
        <v>-4.6004544771603832</v>
      </c>
      <c r="L4">
        <v>-2.5558080428668797</v>
      </c>
    </row>
    <row r="5" spans="1:18" x14ac:dyDescent="0.3">
      <c r="A5" s="21">
        <v>46136</v>
      </c>
      <c r="B5">
        <v>24100.55078125</v>
      </c>
      <c r="C5">
        <v>24206</v>
      </c>
      <c r="D5">
        <v>23813.650390625</v>
      </c>
      <c r="E5">
        <v>23897.94921875</v>
      </c>
      <c r="F5">
        <v>438400</v>
      </c>
      <c r="G5">
        <v>24122.978596817265</v>
      </c>
      <c r="H5">
        <v>24137.371371942765</v>
      </c>
      <c r="I5">
        <v>0</v>
      </c>
      <c r="K5">
        <v>-14.392775125499611</v>
      </c>
      <c r="L5">
        <v>-7.4070240603393103</v>
      </c>
    </row>
    <row r="6" spans="1:18" x14ac:dyDescent="0.3">
      <c r="A6" s="21">
        <v>46139</v>
      </c>
      <c r="B6">
        <v>23945.44921875</v>
      </c>
      <c r="C6">
        <v>24130.69921875</v>
      </c>
      <c r="D6">
        <v>23936.19921875</v>
      </c>
      <c r="E6">
        <v>24092.69921875</v>
      </c>
      <c r="F6">
        <v>430300</v>
      </c>
      <c r="G6">
        <v>24113.420580493446</v>
      </c>
      <c r="H6">
        <v>24124.882990064383</v>
      </c>
      <c r="I6">
        <v>31.060419956866284</v>
      </c>
      <c r="K6">
        <v>-11.46240957093687</v>
      </c>
      <c r="L6">
        <v>-8.780799639810029</v>
      </c>
    </row>
    <row r="7" spans="1:18" x14ac:dyDescent="0.3">
      <c r="A7" s="21">
        <v>46140</v>
      </c>
      <c r="B7">
        <v>24049.900390625</v>
      </c>
      <c r="C7">
        <v>24181.80078125</v>
      </c>
      <c r="D7">
        <v>23957.05078125</v>
      </c>
      <c r="E7">
        <v>23995.69921875</v>
      </c>
      <c r="F7">
        <v>554100</v>
      </c>
      <c r="G7">
        <v>24081.436107241152</v>
      </c>
      <c r="H7">
        <v>24094.924740665334</v>
      </c>
      <c r="I7">
        <v>26.62463978372574</v>
      </c>
      <c r="K7">
        <v>-13.488633424181899</v>
      </c>
      <c r="L7">
        <v>-10.181273754627934</v>
      </c>
    </row>
    <row r="8" spans="1:18" x14ac:dyDescent="0.3">
      <c r="A8" s="21">
        <v>46141</v>
      </c>
      <c r="B8">
        <v>24096.900390625</v>
      </c>
      <c r="C8">
        <v>24334.69921875</v>
      </c>
      <c r="D8">
        <v>24059.94921875</v>
      </c>
      <c r="E8">
        <v>24177.650390625</v>
      </c>
      <c r="F8">
        <v>531100</v>
      </c>
      <c r="G8">
        <v>24104.821239918067</v>
      </c>
      <c r="H8">
        <v>24111.494028556139</v>
      </c>
      <c r="I8">
        <v>43.053209368777182</v>
      </c>
      <c r="K8">
        <v>-6.6727886380722339</v>
      </c>
      <c r="L8">
        <v>-9.2302792200424051</v>
      </c>
    </row>
    <row r="9" spans="1:18" x14ac:dyDescent="0.3">
      <c r="A9" s="21">
        <v>46142</v>
      </c>
      <c r="B9">
        <v>23996.94921875</v>
      </c>
      <c r="C9">
        <v>24087.44921875</v>
      </c>
      <c r="D9">
        <v>23796.849609375</v>
      </c>
      <c r="E9">
        <v>23997.55078125</v>
      </c>
      <c r="F9">
        <v>505500</v>
      </c>
      <c r="G9">
        <v>24080.884212376983</v>
      </c>
      <c r="H9">
        <v>24091.229812688878</v>
      </c>
      <c r="I9">
        <v>34.7576988471357</v>
      </c>
      <c r="K9">
        <v>-10.345600311895396</v>
      </c>
      <c r="L9">
        <v>-9.5125372343311767</v>
      </c>
    </row>
    <row r="10" spans="1:18" x14ac:dyDescent="0.3">
      <c r="A10" s="21">
        <v>46146</v>
      </c>
      <c r="B10">
        <v>24063.55078125</v>
      </c>
      <c r="C10">
        <v>24290.19921875</v>
      </c>
      <c r="D10">
        <v>24004.75</v>
      </c>
      <c r="E10">
        <v>24119.30078125</v>
      </c>
      <c r="F10">
        <v>419100</v>
      </c>
      <c r="G10">
        <v>24088.901158182125</v>
      </c>
      <c r="H10">
        <v>24095.752741275679</v>
      </c>
      <c r="I10">
        <v>42.783684147371126</v>
      </c>
      <c r="K10">
        <v>-6.851583093553927</v>
      </c>
      <c r="L10">
        <v>-8.8730599150486942</v>
      </c>
    </row>
    <row r="11" spans="1:18" x14ac:dyDescent="0.3">
      <c r="A11" s="21">
        <v>46147</v>
      </c>
      <c r="B11">
        <v>24052.599609375</v>
      </c>
      <c r="C11">
        <v>24081.69921875</v>
      </c>
      <c r="D11">
        <v>23882.05078125</v>
      </c>
      <c r="E11">
        <v>24032.80078125</v>
      </c>
      <c r="F11">
        <v>363300</v>
      </c>
      <c r="G11">
        <v>24077.802506845688</v>
      </c>
      <c r="H11">
        <v>24086.421878819459</v>
      </c>
      <c r="I11">
        <v>39.103136035633959</v>
      </c>
      <c r="K11">
        <v>-8.6193719737711945</v>
      </c>
      <c r="L11">
        <v>-8.8144567420612265</v>
      </c>
    </row>
    <row r="12" spans="1:18" x14ac:dyDescent="0.3">
      <c r="A12" s="21">
        <v>46148</v>
      </c>
      <c r="B12">
        <v>24171</v>
      </c>
      <c r="C12">
        <v>24356.5</v>
      </c>
      <c r="D12">
        <v>23997.900390625</v>
      </c>
      <c r="E12">
        <v>24330.94921875</v>
      </c>
      <c r="F12">
        <v>429200</v>
      </c>
      <c r="G12">
        <v>24125.773710367506</v>
      </c>
      <c r="H12">
        <v>24120.164271821592</v>
      </c>
      <c r="I12">
        <v>53.842473466712185</v>
      </c>
      <c r="K12">
        <v>5.6094385459145997</v>
      </c>
      <c r="L12">
        <v>-5.5826668915822664</v>
      </c>
    </row>
    <row r="13" spans="1:18" x14ac:dyDescent="0.3">
      <c r="A13" s="21">
        <v>46149</v>
      </c>
      <c r="B13">
        <v>24398.5</v>
      </c>
      <c r="C13">
        <v>24482.099609375</v>
      </c>
      <c r="D13">
        <v>24284</v>
      </c>
      <c r="E13">
        <v>24326.650390625</v>
      </c>
      <c r="F13">
        <v>440600</v>
      </c>
      <c r="G13">
        <v>24162.529299375765</v>
      </c>
      <c r="H13">
        <v>24146.94558684529</v>
      </c>
      <c r="I13">
        <v>53.640877825915474</v>
      </c>
      <c r="K13">
        <v>15.583712530475168</v>
      </c>
      <c r="L13">
        <v>-0.95158401737506781</v>
      </c>
    </row>
    <row r="14" spans="1:18" x14ac:dyDescent="0.3">
      <c r="A14" s="21">
        <v>46150</v>
      </c>
      <c r="B14">
        <v>24233.650390625</v>
      </c>
      <c r="C14">
        <v>24253.80078125</v>
      </c>
      <c r="D14">
        <v>24126.650390625</v>
      </c>
      <c r="E14">
        <v>24176.150390625</v>
      </c>
      <c r="F14">
        <v>335900</v>
      </c>
      <c r="G14">
        <v>24164.951084683751</v>
      </c>
      <c r="H14">
        <v>24150.533857152532</v>
      </c>
      <c r="I14">
        <v>47.005362692864146</v>
      </c>
      <c r="K14">
        <v>14.417227531219396</v>
      </c>
      <c r="L14">
        <v>2.3489921601936539</v>
      </c>
    </row>
    <row r="15" spans="1:18" x14ac:dyDescent="0.3">
      <c r="A15" s="21">
        <v>46153</v>
      </c>
      <c r="B15">
        <v>23970.099609375</v>
      </c>
      <c r="C15">
        <v>23997.44921875</v>
      </c>
      <c r="D15">
        <v>23799.099609375</v>
      </c>
      <c r="E15">
        <v>23815.849609375</v>
      </c>
      <c r="F15">
        <v>390100</v>
      </c>
      <c r="G15">
        <v>24104.333806385581</v>
      </c>
      <c r="H15">
        <v>24111.325657893583</v>
      </c>
      <c r="I15">
        <v>35.63907630849296</v>
      </c>
      <c r="K15">
        <v>-6.9918515080025827</v>
      </c>
      <c r="L15">
        <v>0.37214511069127987</v>
      </c>
    </row>
    <row r="16" spans="1:18" x14ac:dyDescent="0.3">
      <c r="A16" s="21">
        <v>46154</v>
      </c>
      <c r="B16">
        <v>23722.599609375</v>
      </c>
      <c r="C16">
        <v>23757.55078125</v>
      </c>
      <c r="D16">
        <v>23348.400390625</v>
      </c>
      <c r="E16">
        <v>23379.55078125</v>
      </c>
      <c r="F16">
        <v>447500</v>
      </c>
      <c r="G16">
        <v>23980.926398228235</v>
      </c>
      <c r="H16">
        <v>24029.138630564557</v>
      </c>
      <c r="I16">
        <v>27.095018707994228</v>
      </c>
      <c r="K16">
        <v>-48.212232336321904</v>
      </c>
      <c r="L16">
        <v>-9.791742900792956</v>
      </c>
      <c r="P16">
        <v>2.6680160927423739</v>
      </c>
      <c r="R16">
        <v>-97.331983907257623</v>
      </c>
    </row>
    <row r="17" spans="1:18" x14ac:dyDescent="0.3">
      <c r="A17" s="21">
        <v>46155</v>
      </c>
      <c r="B17">
        <v>23362.44921875</v>
      </c>
      <c r="C17">
        <v>23582.94921875</v>
      </c>
      <c r="D17">
        <v>23262.55078125</v>
      </c>
      <c r="E17">
        <v>23412.599609375</v>
      </c>
      <c r="F17">
        <v>415400</v>
      </c>
      <c r="G17">
        <v>23885.721931680226</v>
      </c>
      <c r="H17">
        <v>23962.444210860045</v>
      </c>
      <c r="I17">
        <v>28.493447223932748</v>
      </c>
      <c r="J17">
        <v>-3.9605220073376857</v>
      </c>
      <c r="K17">
        <v>-76.722279179819452</v>
      </c>
      <c r="L17">
        <v>-23.666007442699588</v>
      </c>
      <c r="P17">
        <v>12.303634316609786</v>
      </c>
      <c r="R17">
        <v>-87.696365683390212</v>
      </c>
    </row>
    <row r="18" spans="1:18" x14ac:dyDescent="0.3">
      <c r="A18" s="21">
        <v>46156</v>
      </c>
      <c r="B18">
        <v>23530.25</v>
      </c>
      <c r="C18">
        <v>23777.19921875</v>
      </c>
      <c r="D18">
        <v>23426.55078125</v>
      </c>
      <c r="E18">
        <v>23689.599609375</v>
      </c>
      <c r="F18">
        <v>428700</v>
      </c>
      <c r="G18">
        <v>23853.311171582067</v>
      </c>
      <c r="H18">
        <v>23933.902424179811</v>
      </c>
      <c r="I18">
        <v>39.046748446644891</v>
      </c>
      <c r="J18">
        <v>-1.9999592779989195</v>
      </c>
      <c r="K18">
        <v>-80.591252597743733</v>
      </c>
      <c r="L18">
        <v>-35.380798528513381</v>
      </c>
      <c r="P18">
        <v>35.016952029839416</v>
      </c>
      <c r="Q18">
        <v>16.662867479730526</v>
      </c>
      <c r="R18">
        <v>-64.983047970160584</v>
      </c>
    </row>
    <row r="19" spans="1:18" x14ac:dyDescent="0.3">
      <c r="A19" s="21">
        <v>46157</v>
      </c>
      <c r="B19">
        <v>23731.400390625</v>
      </c>
      <c r="C19">
        <v>23839.30078125</v>
      </c>
      <c r="D19">
        <v>23610.30078125</v>
      </c>
      <c r="E19">
        <v>23643.5</v>
      </c>
      <c r="F19">
        <v>408900</v>
      </c>
      <c r="G19">
        <v>23819.029435154764</v>
      </c>
      <c r="H19">
        <v>23904.424042079179</v>
      </c>
      <c r="I19">
        <v>38.040532400465992</v>
      </c>
      <c r="J19">
        <v>-1.0647324438632699</v>
      </c>
      <c r="K19">
        <v>-85.394606924415712</v>
      </c>
      <c r="L19">
        <v>-45.613991221692913</v>
      </c>
      <c r="P19">
        <v>31.236897610380375</v>
      </c>
      <c r="Q19">
        <v>26.185827985609858</v>
      </c>
      <c r="R19">
        <v>-68.763102389619618</v>
      </c>
    </row>
    <row r="20" spans="1:18" x14ac:dyDescent="0.3">
      <c r="A20" s="21">
        <v>46160</v>
      </c>
      <c r="B20">
        <v>23482.19921875</v>
      </c>
      <c r="C20">
        <v>23695.650390625</v>
      </c>
      <c r="D20">
        <v>23317.099609375</v>
      </c>
      <c r="E20">
        <v>23649.94921875</v>
      </c>
      <c r="F20">
        <v>392000</v>
      </c>
      <c r="G20">
        <v>23791.664123473474</v>
      </c>
      <c r="H20">
        <v>23879.282378186366</v>
      </c>
      <c r="I20">
        <v>38.280153879638533</v>
      </c>
      <c r="J20">
        <v>-1.8376936348229234</v>
      </c>
      <c r="K20">
        <v>-87.61825471289194</v>
      </c>
      <c r="L20">
        <v>-54.16895647320829</v>
      </c>
      <c r="P20">
        <v>31.765717662621775</v>
      </c>
      <c r="Q20">
        <v>32.673189100947184</v>
      </c>
      <c r="R20">
        <v>-68.234282337378232</v>
      </c>
    </row>
    <row r="21" spans="1:18" x14ac:dyDescent="0.3">
      <c r="A21" s="21">
        <v>46161</v>
      </c>
      <c r="B21">
        <v>23675.30078125</v>
      </c>
      <c r="C21">
        <v>23782.30078125</v>
      </c>
      <c r="D21">
        <v>23587.19921875</v>
      </c>
      <c r="E21">
        <v>23618</v>
      </c>
      <c r="F21">
        <v>442000</v>
      </c>
      <c r="G21">
        <v>23763.780042048056</v>
      </c>
      <c r="H21">
        <v>23854.090976201453</v>
      </c>
      <c r="I21">
        <v>37.50629800182179</v>
      </c>
      <c r="J21">
        <v>-1.5740288095246191</v>
      </c>
      <c r="K21">
        <v>-90.310934153396374</v>
      </c>
      <c r="L21">
        <v>-61.503047398553058</v>
      </c>
      <c r="P21">
        <v>29.145960420173317</v>
      </c>
      <c r="Q21">
        <v>30.716191897725157</v>
      </c>
      <c r="R21">
        <v>-70.85403957982669</v>
      </c>
    </row>
    <row r="22" spans="1:18" x14ac:dyDescent="0.3">
      <c r="A22" s="21">
        <v>46162</v>
      </c>
      <c r="B22">
        <v>23457.25</v>
      </c>
      <c r="C22">
        <v>23690.900390625</v>
      </c>
      <c r="D22">
        <v>23397.30078125</v>
      </c>
      <c r="E22">
        <v>23659</v>
      </c>
      <c r="F22">
        <v>344100</v>
      </c>
      <c r="G22">
        <v>23747.068468493962</v>
      </c>
      <c r="H22">
        <v>23835.692414305544</v>
      </c>
      <c r="I22">
        <v>39.204792152254882</v>
      </c>
      <c r="J22">
        <v>-2.1451645724272272</v>
      </c>
      <c r="K22">
        <v>-88.623945811581507</v>
      </c>
      <c r="L22">
        <v>-66.990493021802806</v>
      </c>
      <c r="M22">
        <v>24536.246201919119</v>
      </c>
      <c r="N22">
        <v>23928.329980468749</v>
      </c>
      <c r="O22">
        <v>23320.413759018378</v>
      </c>
      <c r="P22">
        <v>32.507859431878785</v>
      </c>
      <c r="Q22">
        <v>31.139845838224627</v>
      </c>
      <c r="R22">
        <v>-67.492140568121215</v>
      </c>
    </row>
    <row r="23" spans="1:18" x14ac:dyDescent="0.3">
      <c r="A23" s="21">
        <v>46163</v>
      </c>
      <c r="B23">
        <v>23830.05078125</v>
      </c>
      <c r="C23">
        <v>23859.900390625</v>
      </c>
      <c r="D23">
        <v>23596.599609375</v>
      </c>
      <c r="E23">
        <v>23654.69921875</v>
      </c>
      <c r="F23">
        <v>348200</v>
      </c>
      <c r="G23">
        <v>23732.419024265764</v>
      </c>
      <c r="H23">
        <v>23818.961897633999</v>
      </c>
      <c r="I23">
        <v>39.084791451357425</v>
      </c>
      <c r="J23">
        <v>-1.4286939764197926</v>
      </c>
      <c r="K23">
        <v>-86.542873368234723</v>
      </c>
      <c r="L23">
        <v>-70.937372630101194</v>
      </c>
      <c r="M23">
        <v>24472.87382232778</v>
      </c>
      <c r="N23">
        <v>23892.159960937501</v>
      </c>
      <c r="O23">
        <v>23311.446099547222</v>
      </c>
      <c r="P23">
        <v>32.15520596275838</v>
      </c>
      <c r="Q23">
        <v>31.269675271603493</v>
      </c>
      <c r="R23">
        <v>-67.844794037241613</v>
      </c>
    </row>
    <row r="24" spans="1:18" x14ac:dyDescent="0.3">
      <c r="A24" s="21">
        <v>46164</v>
      </c>
      <c r="B24">
        <v>23671.19921875</v>
      </c>
      <c r="C24">
        <v>23835.650390625</v>
      </c>
      <c r="D24">
        <v>23671</v>
      </c>
      <c r="E24">
        <v>23719.30078125</v>
      </c>
      <c r="F24">
        <v>336100</v>
      </c>
      <c r="G24">
        <v>23730.348352704455</v>
      </c>
      <c r="H24">
        <v>23809.915614880156</v>
      </c>
      <c r="I24">
        <v>41.958631688969682</v>
      </c>
      <c r="J24">
        <v>-1.6584228690035396</v>
      </c>
      <c r="K24">
        <v>-79.567262175700307</v>
      </c>
      <c r="L24">
        <v>-72.676180678042499</v>
      </c>
      <c r="M24">
        <v>24439.333383359575</v>
      </c>
      <c r="N24">
        <v>23869.472460937501</v>
      </c>
      <c r="O24">
        <v>23299.611538515426</v>
      </c>
      <c r="P24">
        <v>37.452374965767632</v>
      </c>
      <c r="Q24">
        <v>34.038480120134928</v>
      </c>
      <c r="R24">
        <v>-62.547625034232368</v>
      </c>
    </row>
    <row r="25" spans="1:18" x14ac:dyDescent="0.3">
      <c r="A25" s="21">
        <v>46167</v>
      </c>
      <c r="B25">
        <v>23940.25</v>
      </c>
      <c r="C25">
        <v>24054.44921875</v>
      </c>
      <c r="D25">
        <v>23922.849609375</v>
      </c>
      <c r="E25">
        <v>24031.69921875</v>
      </c>
      <c r="F25">
        <v>351200</v>
      </c>
      <c r="G25">
        <v>23777.726059456341</v>
      </c>
      <c r="H25">
        <v>23829.716407627577</v>
      </c>
      <c r="I25">
        <v>53.406248400282728</v>
      </c>
      <c r="J25">
        <v>-4.5835793756499044E-3</v>
      </c>
      <c r="K25">
        <v>-51.990348171235382</v>
      </c>
      <c r="L25">
        <v>-68.514447640924658</v>
      </c>
      <c r="M25">
        <v>24450.54917958771</v>
      </c>
      <c r="N25">
        <v>23876.159960937501</v>
      </c>
      <c r="O25">
        <v>23301.770742287292</v>
      </c>
      <c r="P25">
        <v>63.068277363074522</v>
      </c>
      <c r="Q25">
        <v>44.225286097200176</v>
      </c>
      <c r="R25">
        <v>-36.931722636925478</v>
      </c>
    </row>
    <row r="26" spans="1:18" x14ac:dyDescent="0.3">
      <c r="A26" s="21">
        <v>46168</v>
      </c>
      <c r="B26">
        <v>24004.099609375</v>
      </c>
      <c r="C26">
        <v>24089.80078125</v>
      </c>
      <c r="D26">
        <v>23885.44921875</v>
      </c>
      <c r="E26">
        <v>23913.69921875</v>
      </c>
      <c r="F26">
        <v>387900</v>
      </c>
      <c r="G26">
        <v>23799.031620494097</v>
      </c>
      <c r="H26">
        <v>23837.102070785117</v>
      </c>
      <c r="I26">
        <v>49.439714000054074</v>
      </c>
      <c r="J26">
        <v>-1.7148940481058528</v>
      </c>
      <c r="K26">
        <v>-38.07045029101937</v>
      </c>
      <c r="L26">
        <v>-62.396758199372215</v>
      </c>
      <c r="M26">
        <v>24432.905066576892</v>
      </c>
      <c r="N26">
        <v>23867.2099609375</v>
      </c>
      <c r="O26">
        <v>23301.514855298108</v>
      </c>
      <c r="P26">
        <v>53.392568012312445</v>
      </c>
      <c r="Q26">
        <v>51.304406780384873</v>
      </c>
      <c r="R26">
        <v>-46.607431987687562</v>
      </c>
    </row>
    <row r="27" spans="1:18" x14ac:dyDescent="0.3">
      <c r="A27" s="21">
        <v>46169</v>
      </c>
      <c r="B27">
        <v>23880.349609375</v>
      </c>
      <c r="C27">
        <v>23983.19921875</v>
      </c>
      <c r="D27">
        <v>23858.25</v>
      </c>
      <c r="E27">
        <v>23907.150390625</v>
      </c>
      <c r="F27">
        <v>531600</v>
      </c>
      <c r="G27">
        <v>23815.924660207591</v>
      </c>
      <c r="H27">
        <v>23843.178034745524</v>
      </c>
      <c r="I27">
        <v>49.22122086118798</v>
      </c>
      <c r="J27">
        <v>-1.7244462072002587</v>
      </c>
      <c r="K27">
        <v>-27.253374537933269</v>
      </c>
      <c r="L27">
        <v>-55.341427180099657</v>
      </c>
      <c r="M27">
        <v>24425.622260840868</v>
      </c>
      <c r="N27">
        <v>23862.782519531251</v>
      </c>
      <c r="O27">
        <v>23299.942778221633</v>
      </c>
      <c r="P27">
        <v>65.028964375788149</v>
      </c>
      <c r="Q27">
        <v>60.496603250391708</v>
      </c>
      <c r="R27">
        <v>-34.971035624211858</v>
      </c>
    </row>
    <row r="28" spans="1:18" x14ac:dyDescent="0.3">
      <c r="A28" s="21">
        <v>46171</v>
      </c>
      <c r="B28">
        <v>23902.150390625</v>
      </c>
      <c r="C28">
        <v>24002.80078125</v>
      </c>
      <c r="D28">
        <v>23484.75</v>
      </c>
      <c r="E28">
        <v>23547.75</v>
      </c>
      <c r="F28">
        <v>1198000</v>
      </c>
      <c r="G28">
        <v>23774.123936872056</v>
      </c>
      <c r="H28">
        <v>23817.873221190785</v>
      </c>
      <c r="I28">
        <v>39.027509581385367</v>
      </c>
      <c r="J28">
        <v>-2.5992574519584366</v>
      </c>
      <c r="K28">
        <v>-43.749284318728314</v>
      </c>
      <c r="L28">
        <v>-53.015970345801925</v>
      </c>
      <c r="M28">
        <v>24390.424187063683</v>
      </c>
      <c r="N28">
        <v>23831.287499999999</v>
      </c>
      <c r="O28">
        <v>23272.150812936314</v>
      </c>
      <c r="P28">
        <v>34.475577969174978</v>
      </c>
      <c r="Q28">
        <v>50.965703452425196</v>
      </c>
      <c r="R28">
        <v>-65.524422030825022</v>
      </c>
    </row>
    <row r="29" spans="1:18" x14ac:dyDescent="0.3">
      <c r="A29" s="21">
        <v>46174</v>
      </c>
      <c r="B29">
        <v>23654.5</v>
      </c>
      <c r="C29">
        <v>23733.69921875</v>
      </c>
      <c r="D29">
        <v>23357.94921875</v>
      </c>
      <c r="E29">
        <v>23382.599609375</v>
      </c>
      <c r="F29">
        <v>421700</v>
      </c>
      <c r="G29">
        <v>23713.219882383535</v>
      </c>
      <c r="H29">
        <v>23781.016792366765</v>
      </c>
      <c r="I29">
        <v>35.399542481024767</v>
      </c>
      <c r="J29">
        <v>-1.8191666772595538</v>
      </c>
      <c r="K29">
        <v>-67.796909983229853</v>
      </c>
      <c r="L29">
        <v>-55.979323220894159</v>
      </c>
      <c r="M29">
        <v>24388.091473338303</v>
      </c>
      <c r="N29">
        <v>23800.539941406249</v>
      </c>
      <c r="O29">
        <v>23212.988409474194</v>
      </c>
      <c r="P29">
        <v>14.511795482018735</v>
      </c>
      <c r="Q29">
        <v>38.005445942327292</v>
      </c>
      <c r="R29">
        <v>-85.488204517981259</v>
      </c>
    </row>
    <row r="30" spans="1:18" x14ac:dyDescent="0.3">
      <c r="A30" s="21">
        <v>46175</v>
      </c>
      <c r="B30">
        <v>23229.150390625</v>
      </c>
      <c r="C30">
        <v>23556.94921875</v>
      </c>
      <c r="D30">
        <v>23229.150390625</v>
      </c>
      <c r="E30">
        <v>23483.55078125</v>
      </c>
      <c r="F30">
        <v>511900</v>
      </c>
      <c r="G30">
        <v>23677.554410489443</v>
      </c>
      <c r="H30">
        <v>23756.093298068128</v>
      </c>
      <c r="I30">
        <v>39.124743782774935</v>
      </c>
      <c r="J30">
        <v>0.44483318337924516</v>
      </c>
      <c r="K30">
        <v>-78.538887578684808</v>
      </c>
      <c r="L30">
        <v>-60.499980314984562</v>
      </c>
      <c r="M30">
        <v>24352.469129034267</v>
      </c>
      <c r="N30">
        <v>23768.75244140625</v>
      </c>
      <c r="O30">
        <v>23185.035753778233</v>
      </c>
      <c r="P30">
        <v>29.559086174382109</v>
      </c>
      <c r="Q30">
        <v>26.182153208525275</v>
      </c>
      <c r="R30">
        <v>-70.440913825617884</v>
      </c>
    </row>
    <row r="31" spans="1:18" x14ac:dyDescent="0.3">
      <c r="A31" s="21">
        <v>46176</v>
      </c>
      <c r="B31">
        <v>23415.94921875</v>
      </c>
      <c r="C31">
        <v>23459.650390625</v>
      </c>
      <c r="D31">
        <v>23151.5</v>
      </c>
      <c r="E31">
        <v>23405.599609375</v>
      </c>
      <c r="F31">
        <v>450100</v>
      </c>
      <c r="G31">
        <v>23635.383280790327</v>
      </c>
      <c r="H31">
        <v>23727.00928795712</v>
      </c>
      <c r="I31">
        <v>37.334467411444493</v>
      </c>
      <c r="J31">
        <v>-2.9898431258346125E-2</v>
      </c>
      <c r="K31">
        <v>-91.626007166792988</v>
      </c>
      <c r="L31">
        <v>-66.734833653579898</v>
      </c>
      <c r="M31">
        <v>24328.721652982909</v>
      </c>
      <c r="N31">
        <v>23737.392382812501</v>
      </c>
      <c r="O31">
        <v>23146.063112642092</v>
      </c>
      <c r="P31">
        <v>27.080826793780311</v>
      </c>
      <c r="Q31">
        <v>23.717236150060387</v>
      </c>
      <c r="R31">
        <v>-72.919173206219696</v>
      </c>
    </row>
    <row r="32" spans="1:18" x14ac:dyDescent="0.3">
      <c r="A32" s="21">
        <v>46177</v>
      </c>
      <c r="B32">
        <v>23282.44921875</v>
      </c>
      <c r="C32">
        <v>23465.30078125</v>
      </c>
      <c r="D32">
        <v>23247.30078125</v>
      </c>
      <c r="E32">
        <v>23416.55078125</v>
      </c>
      <c r="F32">
        <v>412500</v>
      </c>
      <c r="G32">
        <v>23601.491016930337</v>
      </c>
      <c r="H32">
        <v>23701.474813583009</v>
      </c>
      <c r="I32">
        <v>37.765315031911726</v>
      </c>
      <c r="J32">
        <v>-1.1526105659335095</v>
      </c>
      <c r="K32">
        <v>-99.983796652672027</v>
      </c>
      <c r="L32">
        <v>-73.392868501319299</v>
      </c>
      <c r="M32">
        <v>24228.673361268262</v>
      </c>
      <c r="N32">
        <v>23691.672460937501</v>
      </c>
      <c r="O32">
        <v>23154.671560606741</v>
      </c>
      <c r="P32">
        <v>28.247954871880271</v>
      </c>
      <c r="Q32">
        <v>28.295955946680895</v>
      </c>
      <c r="R32">
        <v>-71.752045128119732</v>
      </c>
    </row>
    <row r="33" spans="1:18" x14ac:dyDescent="0.3">
      <c r="A33" s="21">
        <v>46178</v>
      </c>
      <c r="B33">
        <v>23478.94921875</v>
      </c>
      <c r="C33">
        <v>23516.349609375</v>
      </c>
      <c r="D33">
        <v>23282.650390625</v>
      </c>
      <c r="E33">
        <v>23366.69921875</v>
      </c>
      <c r="F33">
        <v>366200</v>
      </c>
      <c r="G33">
        <v>23565.164485133846</v>
      </c>
      <c r="H33">
        <v>23674.163546491582</v>
      </c>
      <c r="I33">
        <v>36.533929042759418</v>
      </c>
      <c r="J33">
        <v>-1.1707267589400883</v>
      </c>
      <c r="K33">
        <v>-108.99906135773563</v>
      </c>
      <c r="L33">
        <v>-80.521166597102351</v>
      </c>
      <c r="M33">
        <v>24108.453891670855</v>
      </c>
      <c r="N33">
        <v>23643.674902343751</v>
      </c>
      <c r="O33">
        <v>23178.895913016648</v>
      </c>
      <c r="P33">
        <v>22.93499302678962</v>
      </c>
      <c r="Q33">
        <v>26.087924897483401</v>
      </c>
      <c r="R33">
        <v>-77.065006973210387</v>
      </c>
    </row>
    <row r="34" spans="1:18" x14ac:dyDescent="0.3">
      <c r="A34" s="21">
        <v>46181</v>
      </c>
      <c r="B34">
        <v>23080.69921875</v>
      </c>
      <c r="C34">
        <v>23267.30078125</v>
      </c>
      <c r="D34">
        <v>23070.150390625</v>
      </c>
      <c r="E34">
        <v>23123</v>
      </c>
      <c r="F34">
        <v>375700</v>
      </c>
      <c r="G34">
        <v>23496.813249213472</v>
      </c>
      <c r="H34">
        <v>23629.534194304837</v>
      </c>
      <c r="I34">
        <v>31.18142399024137</v>
      </c>
      <c r="J34">
        <v>-2.2281198740681796</v>
      </c>
      <c r="K34">
        <v>-132.72094509136514</v>
      </c>
      <c r="L34">
        <v>-90.969400239484955</v>
      </c>
      <c r="M34">
        <v>24040.15892384062</v>
      </c>
      <c r="N34">
        <v>23591.017382812501</v>
      </c>
      <c r="O34">
        <v>23141.875841784382</v>
      </c>
      <c r="P34">
        <v>5.1831107859043293</v>
      </c>
      <c r="Q34">
        <v>18.788686228191406</v>
      </c>
      <c r="R34">
        <v>-94.816889214095667</v>
      </c>
    </row>
    <row r="35" spans="1:18" x14ac:dyDescent="0.3">
      <c r="A35" s="21">
        <v>46182</v>
      </c>
      <c r="B35">
        <v>23259.05078125</v>
      </c>
      <c r="C35">
        <v>23279.400390625</v>
      </c>
      <c r="D35">
        <v>23104.44921875</v>
      </c>
      <c r="E35">
        <v>23242.099609375</v>
      </c>
      <c r="F35">
        <v>402600</v>
      </c>
      <c r="G35">
        <v>23457.467782118551</v>
      </c>
      <c r="H35">
        <v>23598.377410832687</v>
      </c>
      <c r="I35">
        <v>36.108030371570521</v>
      </c>
      <c r="J35">
        <v>-1.5915843450969636</v>
      </c>
      <c r="K35">
        <v>-140.90962871413649</v>
      </c>
      <c r="L35">
        <v>-100.96378062556292</v>
      </c>
      <c r="M35">
        <v>24024.121181723214</v>
      </c>
      <c r="N35">
        <v>23562.329882812501</v>
      </c>
      <c r="O35">
        <v>23100.538583901787</v>
      </c>
      <c r="P35">
        <v>16.863546597045172</v>
      </c>
      <c r="Q35">
        <v>14.993883469913039</v>
      </c>
      <c r="R35">
        <v>-83.136453402954828</v>
      </c>
    </row>
    <row r="36" spans="1:18" x14ac:dyDescent="0.3">
      <c r="A36" s="21">
        <v>46183</v>
      </c>
      <c r="B36">
        <v>23233.94921875</v>
      </c>
      <c r="C36">
        <v>23425.349609375</v>
      </c>
      <c r="D36">
        <v>23184.599609375</v>
      </c>
      <c r="E36">
        <v>23214.94921875</v>
      </c>
      <c r="F36">
        <v>380000</v>
      </c>
      <c r="G36">
        <v>23420.029415262048</v>
      </c>
      <c r="H36">
        <v>23567.737198867853</v>
      </c>
      <c r="I36">
        <v>35.484396020199455</v>
      </c>
      <c r="J36">
        <v>-1.8768789097172278</v>
      </c>
      <c r="K36">
        <v>-147.70778360580516</v>
      </c>
      <c r="L36">
        <v>-110.31732403157653</v>
      </c>
      <c r="M36">
        <v>24035.075492854889</v>
      </c>
      <c r="N36">
        <v>23554.099804687499</v>
      </c>
      <c r="O36">
        <v>23073.12411652011</v>
      </c>
      <c r="P36">
        <v>14.200830937380882</v>
      </c>
      <c r="Q36">
        <v>12.082496106776794</v>
      </c>
      <c r="R36">
        <v>-85.799169062619114</v>
      </c>
    </row>
    <row r="37" spans="1:18" x14ac:dyDescent="0.3">
      <c r="A37" s="21">
        <v>46184</v>
      </c>
      <c r="B37">
        <v>23104.400390625</v>
      </c>
      <c r="C37">
        <v>23327.44921875</v>
      </c>
      <c r="D37">
        <v>23072.05078125</v>
      </c>
      <c r="E37">
        <v>23161.599609375</v>
      </c>
      <c r="F37">
        <v>363000</v>
      </c>
      <c r="G37">
        <v>23380.155794237377</v>
      </c>
      <c r="H37">
        <v>23535.470596053696</v>
      </c>
      <c r="I37">
        <v>34.233232746278716</v>
      </c>
      <c r="J37">
        <v>-2.0845735759097761</v>
      </c>
      <c r="K37">
        <v>-155.31480181631923</v>
      </c>
      <c r="L37">
        <v>-119.32047169909937</v>
      </c>
      <c r="M37">
        <v>24050.364259119582</v>
      </c>
      <c r="N37">
        <v>23541.5498046875</v>
      </c>
      <c r="O37">
        <v>23032.735350255418</v>
      </c>
      <c r="P37">
        <v>8.968683736191748</v>
      </c>
      <c r="Q37">
        <v>13.3443537568726</v>
      </c>
      <c r="R37">
        <v>-91.03131626380825</v>
      </c>
    </row>
    <row r="38" spans="1:18" x14ac:dyDescent="0.3">
      <c r="A38" s="21">
        <v>46185</v>
      </c>
      <c r="B38">
        <v>23412.55078125</v>
      </c>
      <c r="C38">
        <v>23645.349609375</v>
      </c>
      <c r="D38">
        <v>23313.900390625</v>
      </c>
      <c r="E38">
        <v>23622.900390625</v>
      </c>
      <c r="F38">
        <v>351900</v>
      </c>
      <c r="G38">
        <v>23417.592628136568</v>
      </c>
      <c r="H38">
        <v>23542.379547278044</v>
      </c>
      <c r="I38">
        <v>50.489237419679405</v>
      </c>
      <c r="J38">
        <v>-0.40642172176172942</v>
      </c>
      <c r="K38">
        <v>-124.78691914147566</v>
      </c>
      <c r="L38">
        <v>-120.41411609547237</v>
      </c>
      <c r="M38">
        <v>24043.807657200465</v>
      </c>
      <c r="N38">
        <v>23538.21484375</v>
      </c>
      <c r="O38">
        <v>23032.622030299535</v>
      </c>
      <c r="P38">
        <v>54.209757097350696</v>
      </c>
      <c r="Q38">
        <v>25.793090590307774</v>
      </c>
      <c r="R38">
        <v>-45.790242902649311</v>
      </c>
    </row>
    <row r="39" spans="1:18" x14ac:dyDescent="0.3">
      <c r="A39" s="21">
        <v>46188</v>
      </c>
      <c r="B39">
        <v>23984.849609375</v>
      </c>
      <c r="C39">
        <v>24011.400390625</v>
      </c>
      <c r="D39">
        <v>23817.80078125</v>
      </c>
      <c r="E39">
        <v>23853.900390625</v>
      </c>
      <c r="F39">
        <v>398900</v>
      </c>
      <c r="G39">
        <v>23484.856023944951</v>
      </c>
      <c r="H39">
        <v>23566.875585705846</v>
      </c>
      <c r="I39">
        <v>56.312625572798943</v>
      </c>
      <c r="J39">
        <v>-0.73985125440600985</v>
      </c>
      <c r="K39">
        <v>-82.019561760895158</v>
      </c>
      <c r="L39">
        <v>-112.73321115162642</v>
      </c>
      <c r="M39">
        <v>24071.998593902219</v>
      </c>
      <c r="N39">
        <v>23548.73486328125</v>
      </c>
      <c r="O39">
        <v>23025.471132660281</v>
      </c>
      <c r="P39">
        <v>76.864580958930091</v>
      </c>
      <c r="Q39">
        <v>46.681007264157508</v>
      </c>
      <c r="R39">
        <v>-23.135419041069913</v>
      </c>
    </row>
    <row r="40" spans="1:18" x14ac:dyDescent="0.3">
      <c r="A40" s="21">
        <v>46189</v>
      </c>
      <c r="B40">
        <v>23923.900390625</v>
      </c>
      <c r="C40">
        <v>24002.599609375</v>
      </c>
      <c r="D40">
        <v>23888.19921875</v>
      </c>
      <c r="E40">
        <v>23989.150390625</v>
      </c>
      <c r="F40">
        <v>327300</v>
      </c>
      <c r="G40">
        <v>23562.575793724609</v>
      </c>
      <c r="H40">
        <v>23599.92990307029</v>
      </c>
      <c r="I40">
        <v>59.328907544778154</v>
      </c>
      <c r="J40">
        <v>0.31551443038908555</v>
      </c>
      <c r="K40">
        <v>-37.354109345680627</v>
      </c>
      <c r="L40">
        <v>-97.654259014604818</v>
      </c>
      <c r="M40">
        <v>24123.612487035316</v>
      </c>
      <c r="N40">
        <v>23565.694921875001</v>
      </c>
      <c r="O40">
        <v>23007.777356714687</v>
      </c>
      <c r="P40">
        <v>97.636122177954846</v>
      </c>
      <c r="Q40">
        <v>76.236820078078551</v>
      </c>
      <c r="R40">
        <v>-2.3638778220451528</v>
      </c>
    </row>
    <row r="41" spans="1:18" x14ac:dyDescent="0.3">
      <c r="A41" s="21">
        <v>46190</v>
      </c>
      <c r="B41">
        <v>24044.5</v>
      </c>
      <c r="C41">
        <v>24108.19921875</v>
      </c>
      <c r="D41">
        <v>23969.69921875</v>
      </c>
      <c r="E41">
        <v>24085.69921875</v>
      </c>
      <c r="F41">
        <v>352700</v>
      </c>
      <c r="G41">
        <v>23643.175680542492</v>
      </c>
      <c r="H41">
        <v>23637.795229777144</v>
      </c>
      <c r="I41">
        <v>61.378822844127782</v>
      </c>
      <c r="J41">
        <v>0.74684278639505219</v>
      </c>
      <c r="K41">
        <v>5.3804507653476321</v>
      </c>
      <c r="L41">
        <v>-77.043892574104817</v>
      </c>
      <c r="M41">
        <v>24193.497578189552</v>
      </c>
      <c r="N41">
        <v>23589.079882812501</v>
      </c>
      <c r="O41">
        <v>22984.66218743545</v>
      </c>
      <c r="P41">
        <v>97.832471903981514</v>
      </c>
      <c r="Q41">
        <v>90.77772501362216</v>
      </c>
      <c r="R41">
        <v>-2.1675280960184842</v>
      </c>
    </row>
    <row r="42" spans="1:18" x14ac:dyDescent="0.3">
      <c r="A42" s="21">
        <v>46191</v>
      </c>
      <c r="B42">
        <v>24073.80078125</v>
      </c>
      <c r="C42">
        <v>24189.25</v>
      </c>
      <c r="D42">
        <v>24036.94921875</v>
      </c>
      <c r="E42">
        <v>24168</v>
      </c>
      <c r="F42">
        <v>340000</v>
      </c>
      <c r="G42">
        <v>23724.019185636043</v>
      </c>
      <c r="H42">
        <v>23678.964727609804</v>
      </c>
      <c r="I42">
        <v>63.086767490587064</v>
      </c>
      <c r="J42">
        <v>2.6340096187533746</v>
      </c>
      <c r="K42">
        <v>45.054458026239445</v>
      </c>
      <c r="L42">
        <v>-52.620976091603239</v>
      </c>
      <c r="M42">
        <v>24271.889704827841</v>
      </c>
      <c r="N42">
        <v>23614.529882812501</v>
      </c>
      <c r="O42">
        <v>22957.170060797162</v>
      </c>
      <c r="P42">
        <v>98.101152049202497</v>
      </c>
      <c r="Q42">
        <v>97.856582043712947</v>
      </c>
      <c r="R42">
        <v>-1.8988479507974987</v>
      </c>
    </row>
    <row r="43" spans="1:18" x14ac:dyDescent="0.3">
      <c r="A43" s="21">
        <v>46192</v>
      </c>
      <c r="B43">
        <v>23991.19921875</v>
      </c>
      <c r="C43">
        <v>24047.19921875</v>
      </c>
      <c r="D43">
        <v>23901.900390625</v>
      </c>
      <c r="E43">
        <v>24013.099609375</v>
      </c>
      <c r="F43">
        <v>447900</v>
      </c>
      <c r="G43">
        <v>23768.540302055626</v>
      </c>
      <c r="H43">
        <v>23704.817329396563</v>
      </c>
      <c r="I43">
        <v>57.897113147003992</v>
      </c>
      <c r="J43">
        <v>2.6964495416806011</v>
      </c>
      <c r="K43">
        <v>63.722972659063089</v>
      </c>
      <c r="L43">
        <v>-29.34971171618157</v>
      </c>
      <c r="M43">
        <v>24313.532771323284</v>
      </c>
      <c r="N43">
        <v>23632.449902343749</v>
      </c>
      <c r="O43">
        <v>22951.367033364215</v>
      </c>
      <c r="P43">
        <v>84.259632551978342</v>
      </c>
      <c r="Q43">
        <v>93.397752168387456</v>
      </c>
      <c r="R43">
        <v>-15.740367448021656</v>
      </c>
    </row>
    <row r="44" spans="1:18" x14ac:dyDescent="0.3">
      <c r="A44" s="21">
        <v>46195</v>
      </c>
      <c r="B44">
        <v>24106.599609375</v>
      </c>
      <c r="C44">
        <v>24168.05078125</v>
      </c>
      <c r="D44">
        <v>24073.150390625</v>
      </c>
      <c r="E44">
        <v>24102.900390625</v>
      </c>
      <c r="F44">
        <v>252800</v>
      </c>
      <c r="G44">
        <v>23820.026507266513</v>
      </c>
      <c r="H44">
        <v>23735.516478018591</v>
      </c>
      <c r="I44">
        <v>59.953825148033125</v>
      </c>
      <c r="J44">
        <v>2.6373763284107232</v>
      </c>
      <c r="K44">
        <v>84.510029247921921</v>
      </c>
      <c r="L44">
        <v>-6.5758261354385246</v>
      </c>
      <c r="M44">
        <v>24363.901867708904</v>
      </c>
      <c r="N44">
        <v>23651.6298828125</v>
      </c>
      <c r="O44">
        <v>22939.357897916096</v>
      </c>
      <c r="P44">
        <v>92.284010408758434</v>
      </c>
      <c r="Q44">
        <v>91.548265003313077</v>
      </c>
      <c r="R44">
        <v>-7.7159895912415637</v>
      </c>
    </row>
    <row r="45" spans="1:18" x14ac:dyDescent="0.3">
      <c r="A45" s="21">
        <v>46196</v>
      </c>
      <c r="B45">
        <v>24071.30078125</v>
      </c>
      <c r="C45">
        <v>24135.5</v>
      </c>
      <c r="D45">
        <v>23784.94921875</v>
      </c>
      <c r="E45">
        <v>23824.099609375</v>
      </c>
      <c r="F45">
        <v>340100</v>
      </c>
      <c r="G45">
        <v>23820.653614421633</v>
      </c>
      <c r="H45">
        <v>23742.327055673566</v>
      </c>
      <c r="I45">
        <v>51.536483682797865</v>
      </c>
      <c r="J45">
        <v>1.7880336628179005</v>
      </c>
      <c r="K45">
        <v>78.326558748067328</v>
      </c>
      <c r="L45">
        <v>10.40580655129561</v>
      </c>
      <c r="M45">
        <v>24336.03684943718</v>
      </c>
      <c r="N45">
        <v>23641.249902343749</v>
      </c>
      <c r="O45">
        <v>22946.462955250317</v>
      </c>
      <c r="P45">
        <v>67.37105548370883</v>
      </c>
      <c r="Q45">
        <v>81.304899481481868</v>
      </c>
      <c r="R45">
        <v>-32.628944516291178</v>
      </c>
    </row>
    <row r="46" spans="1:18" x14ac:dyDescent="0.3">
      <c r="A46" s="21">
        <v>46197</v>
      </c>
      <c r="B46">
        <v>23795.80078125</v>
      </c>
      <c r="C46">
        <v>24090.05078125</v>
      </c>
      <c r="D46">
        <v>23789.25</v>
      </c>
      <c r="E46">
        <v>24021.650390625</v>
      </c>
      <c r="F46">
        <v>395600</v>
      </c>
      <c r="G46">
        <v>23851.596071213553</v>
      </c>
      <c r="H46">
        <v>23763.742236669601</v>
      </c>
      <c r="I46">
        <v>56.226152924412411</v>
      </c>
      <c r="J46">
        <v>2.5840680595005106</v>
      </c>
      <c r="K46">
        <v>87.853834543951962</v>
      </c>
      <c r="L46">
        <v>25.896255530089789</v>
      </c>
      <c r="M46">
        <v>24351.944040957584</v>
      </c>
      <c r="N46">
        <v>23646.6474609375</v>
      </c>
      <c r="O46">
        <v>22941.350880917416</v>
      </c>
      <c r="P46">
        <v>85.023709420415059</v>
      </c>
      <c r="Q46">
        <v>81.559591770960779</v>
      </c>
      <c r="R46">
        <v>-14.976290579584942</v>
      </c>
    </row>
    <row r="47" spans="1:18" x14ac:dyDescent="0.3">
      <c r="A47" s="21">
        <v>46198</v>
      </c>
      <c r="B47">
        <v>24125.849609375</v>
      </c>
      <c r="C47">
        <v>24261.599609375</v>
      </c>
      <c r="D47">
        <v>24039</v>
      </c>
      <c r="E47">
        <v>24056</v>
      </c>
      <c r="F47">
        <v>448800</v>
      </c>
      <c r="G47">
        <v>23883.059930900592</v>
      </c>
      <c r="H47">
        <v>23786.091102459221</v>
      </c>
      <c r="I47">
        <v>57.005212787376877</v>
      </c>
      <c r="J47">
        <v>2.9499279072197293</v>
      </c>
      <c r="K47">
        <v>96.968828441371443</v>
      </c>
      <c r="L47">
        <v>40.111389268743523</v>
      </c>
      <c r="M47">
        <v>24373.95183269896</v>
      </c>
      <c r="N47">
        <v>23654.089941406251</v>
      </c>
      <c r="O47">
        <v>22934.228050113543</v>
      </c>
      <c r="P47">
        <v>82.743737111120581</v>
      </c>
      <c r="Q47">
        <v>78.379500671748147</v>
      </c>
      <c r="R47">
        <v>-17.256262888879416</v>
      </c>
    </row>
    <row r="48" spans="1:18" x14ac:dyDescent="0.3">
      <c r="A48" s="21">
        <v>46202</v>
      </c>
      <c r="B48">
        <v>24061.75</v>
      </c>
      <c r="C48">
        <v>24120</v>
      </c>
      <c r="D48">
        <v>23924.55078125</v>
      </c>
      <c r="E48">
        <v>23946.25</v>
      </c>
      <c r="F48">
        <v>588500</v>
      </c>
      <c r="G48">
        <v>23892.785953051181</v>
      </c>
      <c r="H48">
        <v>23798.309136633889</v>
      </c>
      <c r="I48">
        <v>53.715748646662753</v>
      </c>
      <c r="J48">
        <v>3.5603079185226871</v>
      </c>
      <c r="K48">
        <v>94.476816417292866</v>
      </c>
      <c r="L48">
        <v>50.984853583386368</v>
      </c>
      <c r="M48">
        <v>24403.479724473502</v>
      </c>
      <c r="N48">
        <v>23674.014941406251</v>
      </c>
      <c r="O48">
        <v>22944.550158339</v>
      </c>
      <c r="P48">
        <v>73.489981922636773</v>
      </c>
      <c r="Q48">
        <v>80.419142818057466</v>
      </c>
      <c r="R48">
        <v>-26.510018077363235</v>
      </c>
    </row>
    <row r="49" spans="1:18" x14ac:dyDescent="0.3">
      <c r="A49" s="21">
        <v>46203</v>
      </c>
      <c r="B49">
        <v>24032.05078125</v>
      </c>
      <c r="C49">
        <v>24035.55078125</v>
      </c>
      <c r="D49">
        <v>23829.19921875</v>
      </c>
      <c r="E49">
        <v>23865.75</v>
      </c>
      <c r="F49">
        <v>449000</v>
      </c>
      <c r="G49">
        <v>23888.624956400847</v>
      </c>
      <c r="H49">
        <v>23803.442634753406</v>
      </c>
      <c r="I49">
        <v>51.374052995093166</v>
      </c>
      <c r="J49">
        <v>2.6832790544165874</v>
      </c>
      <c r="K49">
        <v>85.182321647440403</v>
      </c>
      <c r="L49">
        <v>57.824537858767499</v>
      </c>
      <c r="M49">
        <v>24418.951623145196</v>
      </c>
      <c r="N49">
        <v>23698.172460937501</v>
      </c>
      <c r="O49">
        <v>22977.393298729807</v>
      </c>
      <c r="P49">
        <v>66.722710323799888</v>
      </c>
      <c r="Q49">
        <v>74.318809785852409</v>
      </c>
      <c r="R49">
        <v>-33.277289676200112</v>
      </c>
    </row>
    <row r="50" spans="1:18" x14ac:dyDescent="0.3">
      <c r="A50" s="21">
        <v>46204</v>
      </c>
      <c r="B50">
        <v>23897.650390625</v>
      </c>
      <c r="C50">
        <v>24049.900390625</v>
      </c>
      <c r="D50">
        <v>23895.099609375</v>
      </c>
      <c r="E50">
        <v>24005.849609375</v>
      </c>
      <c r="F50">
        <v>352100</v>
      </c>
      <c r="G50">
        <v>23906.665458809392</v>
      </c>
      <c r="H50">
        <v>23818.818118125833</v>
      </c>
      <c r="I50">
        <v>55.046988757169451</v>
      </c>
      <c r="J50">
        <v>3.4068581549435928</v>
      </c>
      <c r="K50">
        <v>87.847340683558286</v>
      </c>
      <c r="L50">
        <v>63.829232332887109</v>
      </c>
      <c r="M50">
        <v>24450.154624097966</v>
      </c>
      <c r="N50">
        <v>23724.287402343751</v>
      </c>
      <c r="O50">
        <v>22998.420180589535</v>
      </c>
      <c r="P50">
        <v>78.500252032266687</v>
      </c>
      <c r="Q50">
        <v>72.904314759567782</v>
      </c>
      <c r="R50">
        <v>-21.499747967733303</v>
      </c>
    </row>
    <row r="51" spans="1:18" x14ac:dyDescent="0.3">
      <c r="A51" s="21">
        <v>46205</v>
      </c>
      <c r="B51">
        <v>24062.19921875</v>
      </c>
      <c r="C51">
        <v>24194.55078125</v>
      </c>
      <c r="D51">
        <v>24058.80078125</v>
      </c>
      <c r="E51">
        <v>24175.69921875</v>
      </c>
      <c r="F51">
        <v>372900</v>
      </c>
      <c r="G51">
        <v>23948.06680340704</v>
      </c>
      <c r="H51">
        <v>23845.876834286508</v>
      </c>
      <c r="I51">
        <v>59.08223021058155</v>
      </c>
      <c r="J51">
        <v>4.3783660303173821</v>
      </c>
      <c r="K51">
        <v>102.18996912053262</v>
      </c>
      <c r="L51">
        <v>71.501516568540879</v>
      </c>
      <c r="M51">
        <v>24499.106583532979</v>
      </c>
      <c r="N51">
        <v>23762.792382812499</v>
      </c>
      <c r="O51">
        <v>23026.478182092018</v>
      </c>
      <c r="P51">
        <v>90.935901504878174</v>
      </c>
      <c r="Q51">
        <v>78.719621286981578</v>
      </c>
      <c r="R51">
        <v>-9.0640984951218204</v>
      </c>
    </row>
    <row r="52" spans="1:18" x14ac:dyDescent="0.3">
      <c r="A52" s="21">
        <v>46206</v>
      </c>
      <c r="B52">
        <v>24375.650390625</v>
      </c>
      <c r="C52">
        <v>24378.150390625</v>
      </c>
      <c r="D52">
        <v>24252.349609375</v>
      </c>
      <c r="E52">
        <v>24270.849609375</v>
      </c>
      <c r="F52">
        <v>326600</v>
      </c>
      <c r="G52">
        <v>23997.737406880511</v>
      </c>
      <c r="H52">
        <v>23878.042102135219</v>
      </c>
      <c r="I52">
        <v>61.184307970668641</v>
      </c>
      <c r="J52">
        <v>2.7428859625008073</v>
      </c>
      <c r="K52">
        <v>119.69530474529165</v>
      </c>
      <c r="L52">
        <v>81.140411774800455</v>
      </c>
      <c r="M52">
        <v>24556.226408941144</v>
      </c>
      <c r="N52">
        <v>23805.50732421875</v>
      </c>
      <c r="O52">
        <v>23054.788239496356</v>
      </c>
      <c r="P52">
        <v>81.911569575825027</v>
      </c>
      <c r="Q52">
        <v>83.782574370989963</v>
      </c>
      <c r="R52">
        <v>-18.088430424174977</v>
      </c>
    </row>
    <row r="53" spans="1:18" x14ac:dyDescent="0.3">
      <c r="A53" s="21">
        <v>46209</v>
      </c>
      <c r="B53">
        <v>24306.849609375</v>
      </c>
      <c r="C53">
        <v>24458.650390625</v>
      </c>
      <c r="D53">
        <v>24287.099609375</v>
      </c>
      <c r="E53">
        <v>24430.349609375</v>
      </c>
      <c r="F53">
        <v>329400</v>
      </c>
      <c r="G53">
        <v>24064.306410034016</v>
      </c>
      <c r="H53">
        <v>23919.777708601458</v>
      </c>
      <c r="I53">
        <v>64.478597201063053</v>
      </c>
      <c r="J53">
        <v>2.4165826523554701</v>
      </c>
      <c r="K53">
        <v>144.52870143255859</v>
      </c>
      <c r="L53">
        <v>93.81821446126915</v>
      </c>
      <c r="M53">
        <v>24628.967805200948</v>
      </c>
      <c r="N53">
        <v>23858.689843749999</v>
      </c>
      <c r="O53">
        <v>23088.411882299049</v>
      </c>
      <c r="P53">
        <v>95.799208546537756</v>
      </c>
      <c r="Q53">
        <v>89.548893209080305</v>
      </c>
      <c r="R53">
        <v>-4.2007914534622461</v>
      </c>
    </row>
    <row r="54" spans="1:18" x14ac:dyDescent="0.3">
      <c r="A54" s="21">
        <v>46210</v>
      </c>
      <c r="B54">
        <v>24464.44921875</v>
      </c>
      <c r="C54">
        <v>24530.900390625</v>
      </c>
      <c r="D54">
        <v>24348.94921875</v>
      </c>
      <c r="E54">
        <v>24398.69921875</v>
      </c>
      <c r="F54">
        <v>412600</v>
      </c>
      <c r="G54">
        <v>24115.760142776198</v>
      </c>
      <c r="H54">
        <v>23955.913928666581</v>
      </c>
      <c r="I54">
        <v>63.33000208380156</v>
      </c>
      <c r="J54">
        <v>1.7072252308070635</v>
      </c>
      <c r="K54">
        <v>159.84621410961699</v>
      </c>
      <c r="L54">
        <v>107.02393501707756</v>
      </c>
      <c r="M54">
        <v>24646.107280329205</v>
      </c>
      <c r="N54">
        <v>23922.474804687499</v>
      </c>
      <c r="O54">
        <v>23198.842329045794</v>
      </c>
      <c r="P54">
        <v>82.277503292514012</v>
      </c>
      <c r="Q54">
        <v>86.662760471625589</v>
      </c>
      <c r="R54">
        <v>-17.722496707485984</v>
      </c>
    </row>
    <row r="55" spans="1:18" x14ac:dyDescent="0.3">
      <c r="A55" s="21">
        <v>46211</v>
      </c>
      <c r="B55">
        <v>24259.55078125</v>
      </c>
      <c r="C55">
        <v>24300</v>
      </c>
      <c r="D55">
        <v>23805.19921875</v>
      </c>
      <c r="E55">
        <v>23882.05078125</v>
      </c>
      <c r="F55">
        <v>420500</v>
      </c>
      <c r="G55">
        <v>24079.799720217106</v>
      </c>
      <c r="H55">
        <v>23950.348384921697</v>
      </c>
      <c r="I55">
        <v>48.227554022671519</v>
      </c>
      <c r="J55">
        <v>-0.84551598710269626</v>
      </c>
      <c r="K55">
        <v>129.45133529540908</v>
      </c>
      <c r="L55">
        <v>111.50944785066561</v>
      </c>
      <c r="M55">
        <v>24604.258664868736</v>
      </c>
      <c r="N55">
        <v>23954.472363281249</v>
      </c>
      <c r="O55">
        <v>23304.686061693763</v>
      </c>
      <c r="P55">
        <v>13.017147255889213</v>
      </c>
      <c r="Q55">
        <v>63.697953031646989</v>
      </c>
      <c r="R55">
        <v>-86.982852744110787</v>
      </c>
    </row>
    <row r="56" spans="1:18" x14ac:dyDescent="0.3">
      <c r="A56" s="21">
        <v>46212</v>
      </c>
      <c r="B56">
        <v>23928.94921875</v>
      </c>
      <c r="C56">
        <v>24134.69921875</v>
      </c>
      <c r="D56">
        <v>23925.69921875</v>
      </c>
      <c r="E56">
        <v>23962.80078125</v>
      </c>
      <c r="F56">
        <v>384800</v>
      </c>
      <c r="G56">
        <v>24061.797707822978</v>
      </c>
      <c r="H56">
        <v>23951.285470409355</v>
      </c>
      <c r="I56">
        <v>50.225469515676153</v>
      </c>
      <c r="J56">
        <v>-0.84905337119330904</v>
      </c>
      <c r="K56">
        <v>110.51223741362264</v>
      </c>
      <c r="L56">
        <v>111.31000459731045</v>
      </c>
      <c r="M56">
        <v>24540.694588544076</v>
      </c>
      <c r="N56">
        <v>23991.864941406249</v>
      </c>
      <c r="O56">
        <v>23443.035294268422</v>
      </c>
      <c r="P56">
        <v>23.842252577063157</v>
      </c>
      <c r="Q56">
        <v>39.712301041822123</v>
      </c>
      <c r="R56">
        <v>-76.157747422936836</v>
      </c>
    </row>
    <row r="57" spans="1:18" x14ac:dyDescent="0.3">
      <c r="A57" s="21">
        <v>46213</v>
      </c>
      <c r="B57">
        <v>24124.69921875</v>
      </c>
      <c r="C57">
        <v>24228.44921875</v>
      </c>
      <c r="D57">
        <v>24120.349609375</v>
      </c>
      <c r="E57">
        <v>24206.900390625</v>
      </c>
      <c r="F57">
        <v>313100</v>
      </c>
      <c r="G57">
        <v>24084.123480557872</v>
      </c>
      <c r="H57">
        <v>23970.498709760326</v>
      </c>
      <c r="I57">
        <v>55.78067100920881</v>
      </c>
      <c r="J57">
        <v>0.80706274659494426</v>
      </c>
      <c r="K57">
        <v>113.62477079754535</v>
      </c>
      <c r="L57">
        <v>111.77296000250969</v>
      </c>
      <c r="M57">
        <v>24436.969427833148</v>
      </c>
      <c r="N57">
        <v>24044.129980468751</v>
      </c>
      <c r="O57">
        <v>23651.290533104355</v>
      </c>
      <c r="P57">
        <v>56.565521683463075</v>
      </c>
      <c r="Q57">
        <v>31.141640505471816</v>
      </c>
      <c r="R57">
        <v>-43.434478316536925</v>
      </c>
    </row>
    <row r="58" spans="1:18" x14ac:dyDescent="0.3">
      <c r="A58" s="21">
        <v>46216</v>
      </c>
      <c r="B58">
        <v>24039.400390625</v>
      </c>
      <c r="C58">
        <v>24259.80078125</v>
      </c>
      <c r="D58">
        <v>24000.19921875</v>
      </c>
      <c r="E58">
        <v>24211</v>
      </c>
      <c r="F58">
        <v>322700</v>
      </c>
      <c r="G58">
        <v>24103.644634237055</v>
      </c>
      <c r="H58">
        <v>23988.55624096881</v>
      </c>
      <c r="I58">
        <v>55.869752828988275</v>
      </c>
      <c r="J58">
        <v>0.44849212179065567</v>
      </c>
      <c r="K58">
        <v>115.08839326824454</v>
      </c>
      <c r="L58">
        <v>112.43604913656765</v>
      </c>
      <c r="M58">
        <v>24418.773742593719</v>
      </c>
      <c r="N58">
        <v>24073.534960937501</v>
      </c>
      <c r="O58">
        <v>23728.296179281282</v>
      </c>
      <c r="P58">
        <v>57.115103147983781</v>
      </c>
      <c r="Q58">
        <v>45.84095913617</v>
      </c>
      <c r="R58">
        <v>-42.884896852016226</v>
      </c>
    </row>
    <row r="59" spans="1:18" x14ac:dyDescent="0.3">
      <c r="A59" s="21">
        <v>46217</v>
      </c>
      <c r="B59">
        <v>24068</v>
      </c>
      <c r="C59">
        <v>24157.099609375</v>
      </c>
      <c r="D59">
        <v>24023.69921875</v>
      </c>
      <c r="E59">
        <v>24052.05078125</v>
      </c>
      <c r="F59">
        <v>355800</v>
      </c>
      <c r="G59">
        <v>24095.706537189184</v>
      </c>
      <c r="H59">
        <v>23993.318789843452</v>
      </c>
      <c r="I59">
        <v>51.534857502142934</v>
      </c>
      <c r="J59">
        <v>0.95680917899327866</v>
      </c>
      <c r="K59">
        <v>102.38774734573235</v>
      </c>
      <c r="L59">
        <v>110.42638276315692</v>
      </c>
      <c r="M59">
        <v>24413.166663239339</v>
      </c>
      <c r="N59">
        <v>24083.442480468751</v>
      </c>
      <c r="O59">
        <v>23753.718297698164</v>
      </c>
      <c r="P59">
        <v>35.434590822305616</v>
      </c>
      <c r="Q59">
        <v>49.705071884584157</v>
      </c>
      <c r="R59">
        <v>-64.565409177694391</v>
      </c>
    </row>
    <row r="60" spans="1:18" x14ac:dyDescent="0.3">
      <c r="A60" s="21">
        <v>46218</v>
      </c>
      <c r="B60">
        <v>24085.849609375</v>
      </c>
      <c r="C60">
        <v>24220.349609375</v>
      </c>
      <c r="D60">
        <v>24010.55078125</v>
      </c>
      <c r="E60">
        <v>24078.5</v>
      </c>
      <c r="F60">
        <v>306900</v>
      </c>
      <c r="G60">
        <v>24093.059213612371</v>
      </c>
      <c r="H60">
        <v>23999.702039014981</v>
      </c>
      <c r="I60">
        <v>52.19947785999976</v>
      </c>
      <c r="J60">
        <v>0.23665988160908036</v>
      </c>
      <c r="K60">
        <v>93.35717459738953</v>
      </c>
      <c r="L60">
        <v>107.01253295545717</v>
      </c>
      <c r="M60">
        <v>24414.662703965987</v>
      </c>
      <c r="N60">
        <v>24087.909960937501</v>
      </c>
      <c r="O60">
        <v>23761.157217909014</v>
      </c>
      <c r="P60">
        <v>37.660237001391437</v>
      </c>
      <c r="Q60">
        <v>43.403310323893614</v>
      </c>
      <c r="R60">
        <v>-62.339762998608563</v>
      </c>
    </row>
    <row r="61" spans="1:18" x14ac:dyDescent="0.3">
      <c r="A61" s="21">
        <v>46219</v>
      </c>
      <c r="B61">
        <v>24142.099609375</v>
      </c>
      <c r="C61">
        <v>24186.5</v>
      </c>
      <c r="D61">
        <v>24050</v>
      </c>
      <c r="E61">
        <v>24072.75</v>
      </c>
      <c r="F61">
        <v>264300</v>
      </c>
      <c r="G61">
        <v>24089.934555410749</v>
      </c>
      <c r="H61">
        <v>24005.171334166502</v>
      </c>
      <c r="I61">
        <v>52.03242347507647</v>
      </c>
      <c r="J61">
        <v>6.9629198536746983E-2</v>
      </c>
      <c r="K61">
        <v>84.763221244247688</v>
      </c>
      <c r="L61">
        <v>102.56266208895622</v>
      </c>
      <c r="M61">
        <v>24414.084997948557</v>
      </c>
      <c r="N61">
        <v>24087.262500000001</v>
      </c>
      <c r="O61">
        <v>23760.440002051444</v>
      </c>
      <c r="P61">
        <v>36.867899849014556</v>
      </c>
      <c r="Q61">
        <v>36.654242557570534</v>
      </c>
      <c r="R61">
        <v>-63.132100150985437</v>
      </c>
    </row>
    <row r="62" spans="1:18" x14ac:dyDescent="0.3">
      <c r="A62" s="21">
        <v>46220</v>
      </c>
      <c r="B62">
        <v>24127.599609375</v>
      </c>
      <c r="C62">
        <v>24367.30078125</v>
      </c>
      <c r="D62">
        <v>24099.05078125</v>
      </c>
      <c r="E62">
        <v>24334.30078125</v>
      </c>
      <c r="F62">
        <v>387800</v>
      </c>
      <c r="G62">
        <v>24127.531027044282</v>
      </c>
      <c r="H62">
        <v>24029.794467686927</v>
      </c>
      <c r="I62">
        <v>58.53319827231806</v>
      </c>
      <c r="J62">
        <v>1.6205075168345795</v>
      </c>
      <c r="K62">
        <v>97.736559357355873</v>
      </c>
      <c r="L62">
        <v>101.59744006343769</v>
      </c>
      <c r="M62">
        <v>24439.085161145962</v>
      </c>
      <c r="N62">
        <v>24095.577539062499</v>
      </c>
      <c r="O62">
        <v>23752.069916979035</v>
      </c>
      <c r="P62">
        <v>72.909013104244551</v>
      </c>
      <c r="Q62">
        <v>49.145716651550174</v>
      </c>
      <c r="R62">
        <v>-27.090986895755453</v>
      </c>
    </row>
    <row r="63" spans="1:18" x14ac:dyDescent="0.3">
      <c r="A63" s="21">
        <v>46223</v>
      </c>
      <c r="B63">
        <v>24190.05078125</v>
      </c>
      <c r="C63">
        <v>24266.099609375</v>
      </c>
      <c r="D63">
        <v>24135.849609375</v>
      </c>
      <c r="E63">
        <v>24238.5</v>
      </c>
      <c r="F63">
        <v>353100</v>
      </c>
      <c r="G63">
        <v>24144.60381751696</v>
      </c>
      <c r="H63">
        <v>24045.396809388087</v>
      </c>
      <c r="I63">
        <v>55.562900656235904</v>
      </c>
      <c r="J63">
        <v>1.5618616636812188</v>
      </c>
      <c r="K63">
        <v>99.207008128872985</v>
      </c>
      <c r="L63">
        <v>101.11935309039184</v>
      </c>
      <c r="M63">
        <v>24453.73507705046</v>
      </c>
      <c r="N63">
        <v>24106.847558593749</v>
      </c>
      <c r="O63">
        <v>23759.960040137037</v>
      </c>
      <c r="P63">
        <v>59.707879502313219</v>
      </c>
      <c r="Q63">
        <v>56.494930818524104</v>
      </c>
      <c r="R63">
        <v>-40.292120497686774</v>
      </c>
    </row>
    <row r="64" spans="1:18" x14ac:dyDescent="0.3">
      <c r="A64" s="21">
        <v>46224</v>
      </c>
      <c r="B64">
        <v>24216.05078125</v>
      </c>
      <c r="C64">
        <v>24262.19921875</v>
      </c>
      <c r="D64">
        <v>24135.650390625</v>
      </c>
      <c r="E64">
        <v>24187.69921875</v>
      </c>
      <c r="F64">
        <v>315600</v>
      </c>
      <c r="G64">
        <v>24151.234089811969</v>
      </c>
      <c r="H64">
        <v>24056.027740193796</v>
      </c>
      <c r="I64">
        <v>53.998088812226456</v>
      </c>
      <c r="J64">
        <v>0.75752207205357358</v>
      </c>
      <c r="K64">
        <v>95.20634961817268</v>
      </c>
      <c r="L64">
        <v>99.936751236055471</v>
      </c>
      <c r="M64">
        <v>24459.839827573443</v>
      </c>
      <c r="N64">
        <v>24111.087500000001</v>
      </c>
      <c r="O64">
        <v>23762.335172426559</v>
      </c>
      <c r="P64">
        <v>52.707645353766161</v>
      </c>
      <c r="Q64">
        <v>61.774845986774643</v>
      </c>
      <c r="R64">
        <v>-47.292354646233839</v>
      </c>
    </row>
    <row r="65" spans="1:18" x14ac:dyDescent="0.3">
      <c r="A65" s="21">
        <v>46225</v>
      </c>
      <c r="B65">
        <v>24150.44921875</v>
      </c>
      <c r="C65">
        <v>24166.30078125</v>
      </c>
      <c r="D65">
        <v>23961.400390625</v>
      </c>
      <c r="E65">
        <v>23996.25</v>
      </c>
      <c r="F65">
        <v>304700</v>
      </c>
      <c r="G65">
        <v>24127.38974292999</v>
      </c>
      <c r="H65">
        <v>24051.56477077831</v>
      </c>
      <c r="I65">
        <v>48.459214898953995</v>
      </c>
      <c r="J65">
        <v>-0.74227105957218598</v>
      </c>
      <c r="K65">
        <v>75.824972151680413</v>
      </c>
      <c r="L65">
        <v>95.114391635375227</v>
      </c>
      <c r="M65">
        <v>24446.426100853241</v>
      </c>
      <c r="N65">
        <v>24119.695019531249</v>
      </c>
      <c r="O65">
        <v>23792.963938209257</v>
      </c>
      <c r="P65">
        <v>26.326370778261328</v>
      </c>
      <c r="Q65">
        <v>46.247298544780243</v>
      </c>
      <c r="R65">
        <v>-73.673629221738679</v>
      </c>
    </row>
    <row r="66" spans="1:18" x14ac:dyDescent="0.3">
      <c r="A66" s="21">
        <v>46226</v>
      </c>
      <c r="B66">
        <v>23904.80078125</v>
      </c>
      <c r="C66">
        <v>23990.75</v>
      </c>
      <c r="D66">
        <v>23807.19921875</v>
      </c>
      <c r="E66">
        <v>23869.599609375</v>
      </c>
      <c r="F66">
        <v>344000</v>
      </c>
      <c r="G66">
        <v>24087.728820562552</v>
      </c>
      <c r="H66">
        <v>24037.987310502143</v>
      </c>
      <c r="I66">
        <v>45.159121768496171</v>
      </c>
      <c r="J66">
        <v>-1.6532177754709165</v>
      </c>
      <c r="K66">
        <v>49.741510060408473</v>
      </c>
      <c r="L66">
        <v>86.039809624174424</v>
      </c>
      <c r="M66">
        <v>24455.099827498751</v>
      </c>
      <c r="N66">
        <v>24112.092480468749</v>
      </c>
      <c r="O66">
        <v>23769.085133438748</v>
      </c>
      <c r="P66">
        <v>8.8742299338732202</v>
      </c>
      <c r="Q66">
        <v>29.302748688633571</v>
      </c>
      <c r="R66">
        <v>-91.125770066126776</v>
      </c>
    </row>
    <row r="67" spans="1:18" x14ac:dyDescent="0.3">
      <c r="A67" s="21">
        <v>46227</v>
      </c>
      <c r="B67">
        <v>23666.349609375</v>
      </c>
      <c r="C67">
        <v>23823.599609375</v>
      </c>
      <c r="D67">
        <v>23606.30078125</v>
      </c>
      <c r="E67">
        <v>23767.44921875</v>
      </c>
      <c r="F67">
        <v>333900</v>
      </c>
      <c r="G67">
        <v>24038.454087619029</v>
      </c>
      <c r="H67">
        <v>24017.811845686239</v>
      </c>
      <c r="I67">
        <v>42.637062545707849</v>
      </c>
      <c r="J67">
        <v>-2.7134298167006854</v>
      </c>
      <c r="K67">
        <v>20.642241932790057</v>
      </c>
      <c r="L67">
        <v>72.960289517779287</v>
      </c>
      <c r="M67">
        <v>24473.326105746408</v>
      </c>
      <c r="N67">
        <v>24097.664941406249</v>
      </c>
      <c r="O67">
        <v>23722.003777066089</v>
      </c>
      <c r="P67">
        <v>17.428996926456762</v>
      </c>
      <c r="Q67">
        <v>17.543199212863769</v>
      </c>
      <c r="R67">
        <v>-82.571003073543238</v>
      </c>
    </row>
    <row r="68" spans="1:18" x14ac:dyDescent="0.3">
      <c r="A68" s="21">
        <v>46230</v>
      </c>
      <c r="B68">
        <v>23928.400390625</v>
      </c>
      <c r="C68">
        <v>24011.599609375</v>
      </c>
      <c r="D68">
        <v>23891.55078125</v>
      </c>
      <c r="E68">
        <v>23995.94921875</v>
      </c>
      <c r="F68">
        <v>319400</v>
      </c>
      <c r="G68">
        <v>24031.91477056333</v>
      </c>
      <c r="H68">
        <v>24016.182250110738</v>
      </c>
      <c r="I68">
        <v>49.439326765507062</v>
      </c>
      <c r="J68">
        <v>-1.650702754229183</v>
      </c>
      <c r="K68">
        <v>15.732520452591416</v>
      </c>
      <c r="L68">
        <v>61.514731106665906</v>
      </c>
      <c r="M68">
        <v>24472.234309153158</v>
      </c>
      <c r="N68">
        <v>24100.14990234375</v>
      </c>
      <c r="O68">
        <v>23728.065495534342</v>
      </c>
      <c r="P68">
        <v>51.2021599868594</v>
      </c>
      <c r="Q68">
        <v>25.83512894906313</v>
      </c>
      <c r="R68">
        <v>-48.7978400131406</v>
      </c>
    </row>
    <row r="69" spans="1:18" x14ac:dyDescent="0.3">
      <c r="A69" s="21">
        <v>46231</v>
      </c>
      <c r="B69">
        <v>23971.25</v>
      </c>
      <c r="C69">
        <v>24041.150390625</v>
      </c>
      <c r="D69">
        <v>23954.599609375</v>
      </c>
      <c r="E69">
        <v>23985.349609375</v>
      </c>
      <c r="F69">
        <v>437800</v>
      </c>
      <c r="G69">
        <v>24024.750800924485</v>
      </c>
      <c r="H69">
        <v>24013.885113625896</v>
      </c>
      <c r="I69">
        <v>49.148176051594398</v>
      </c>
      <c r="J69">
        <v>0.43253751141882901</v>
      </c>
      <c r="K69">
        <v>10.865687298588455</v>
      </c>
      <c r="L69">
        <v>51.384919089454357</v>
      </c>
      <c r="M69">
        <v>24465.996208060227</v>
      </c>
      <c r="N69">
        <v>24106.1298828125</v>
      </c>
      <c r="O69">
        <v>23746.263557564773</v>
      </c>
      <c r="P69">
        <v>49.809307243758212</v>
      </c>
      <c r="Q69">
        <v>39.480154719024789</v>
      </c>
      <c r="R69">
        <v>-50.190692756241781</v>
      </c>
    </row>
    <row r="70" spans="1:18" x14ac:dyDescent="0.3">
      <c r="A70" s="21">
        <v>46232</v>
      </c>
      <c r="B70">
        <v>24176.650390625</v>
      </c>
      <c r="C70">
        <v>24283.55078125</v>
      </c>
      <c r="D70">
        <v>24136.75</v>
      </c>
      <c r="E70">
        <v>24250.19921875</v>
      </c>
      <c r="F70">
        <v>424200</v>
      </c>
      <c r="G70">
        <v>24059.435577188135</v>
      </c>
      <c r="H70">
        <v>24031.48376179548</v>
      </c>
      <c r="I70">
        <v>56.104218949715907</v>
      </c>
      <c r="J70">
        <v>1.1993524468345118</v>
      </c>
      <c r="K70">
        <v>27.95181539265468</v>
      </c>
      <c r="L70">
        <v>46.698297145116648</v>
      </c>
      <c r="M70">
        <v>24480.463198473706</v>
      </c>
      <c r="N70">
        <v>24118.347363281249</v>
      </c>
      <c r="O70">
        <v>23756.231528088792</v>
      </c>
      <c r="P70">
        <v>84.61214684625493</v>
      </c>
      <c r="Q70">
        <v>61.874538025624183</v>
      </c>
      <c r="R70">
        <v>-15.387853153745073</v>
      </c>
    </row>
    <row r="71" spans="1:18" x14ac:dyDescent="0.3">
      <c r="A71" s="21">
        <v>46233</v>
      </c>
      <c r="B71">
        <v>24249.55078125</v>
      </c>
      <c r="C71">
        <v>24342.94921875</v>
      </c>
      <c r="D71">
        <v>24187.099609375</v>
      </c>
      <c r="E71">
        <v>24317.150390625</v>
      </c>
      <c r="F71">
        <v>400600</v>
      </c>
      <c r="G71">
        <v>24099.084401076361</v>
      </c>
      <c r="H71">
        <v>24052.74931284794</v>
      </c>
      <c r="I71">
        <v>57.680171528960621</v>
      </c>
      <c r="J71">
        <v>0.45544864572044652</v>
      </c>
      <c r="K71">
        <v>46.335088228421228</v>
      </c>
      <c r="L71">
        <v>46.625655346836012</v>
      </c>
      <c r="M71">
        <v>24497.636725595192</v>
      </c>
      <c r="N71">
        <v>24125.419921875</v>
      </c>
      <c r="O71">
        <v>23753.203118154808</v>
      </c>
      <c r="P71">
        <v>93.40993552890933</v>
      </c>
      <c r="Q71">
        <v>75.943796539640815</v>
      </c>
      <c r="R71">
        <v>-6.5900644710906704</v>
      </c>
    </row>
    <row r="72" spans="1:18" x14ac:dyDescent="0.3">
      <c r="A72" s="21">
        <v>46234</v>
      </c>
      <c r="B72">
        <v>24361.44921875</v>
      </c>
      <c r="C72">
        <v>24429.400390625</v>
      </c>
      <c r="D72">
        <v>24299.69921875</v>
      </c>
      <c r="E72">
        <v>24383.599609375</v>
      </c>
      <c r="F72">
        <v>411700</v>
      </c>
      <c r="G72">
        <v>24142.856336883324</v>
      </c>
      <c r="H72">
        <v>24077.369364958926</v>
      </c>
      <c r="I72">
        <v>59.244135880181894</v>
      </c>
      <c r="J72">
        <v>0.71289748203295922</v>
      </c>
      <c r="K72">
        <v>65.486971924397949</v>
      </c>
      <c r="L72">
        <v>50.397919283076149</v>
      </c>
      <c r="M72">
        <v>24515.754633368513</v>
      </c>
      <c r="N72">
        <v>24131.057421875001</v>
      </c>
      <c r="O72">
        <v>23746.360210381488</v>
      </c>
      <c r="P72">
        <v>94.435572471626159</v>
      </c>
      <c r="Q72">
        <v>90.819218282263478</v>
      </c>
      <c r="R72">
        <v>-5.5644275283738347</v>
      </c>
    </row>
    <row r="73" spans="1:18" x14ac:dyDescent="0.3">
      <c r="A73" s="21">
        <v>46237</v>
      </c>
      <c r="B73">
        <v>24572.69921875</v>
      </c>
      <c r="C73">
        <v>24774.30078125</v>
      </c>
      <c r="D73">
        <v>24515.150390625</v>
      </c>
      <c r="E73">
        <v>24774.30078125</v>
      </c>
      <c r="F73">
        <v>342300</v>
      </c>
      <c r="G73">
        <v>24240.002322021988</v>
      </c>
      <c r="H73">
        <v>24129.213504552998</v>
      </c>
      <c r="I73">
        <v>66.972652781582084</v>
      </c>
      <c r="J73">
        <v>3.0028624443244389</v>
      </c>
      <c r="K73">
        <v>110.7888174689906</v>
      </c>
      <c r="L73">
        <v>62.476100510235213</v>
      </c>
      <c r="M73">
        <v>24611.932005533556</v>
      </c>
      <c r="N73">
        <v>24148.254980468751</v>
      </c>
      <c r="O73">
        <v>23684.577955403947</v>
      </c>
      <c r="P73">
        <v>100</v>
      </c>
      <c r="Q73">
        <v>95.948502666845158</v>
      </c>
      <c r="R73">
        <v>0</v>
      </c>
    </row>
    <row r="74" spans="1:18" x14ac:dyDescent="0.3">
      <c r="A74" s="21">
        <v>46238</v>
      </c>
      <c r="B74">
        <v>24703.900390625</v>
      </c>
      <c r="C74">
        <v>24703.900390625</v>
      </c>
      <c r="D74">
        <v>24427.94921875</v>
      </c>
      <c r="E74">
        <v>24614.900390625</v>
      </c>
      <c r="F74">
        <v>296500</v>
      </c>
      <c r="G74">
        <v>24297.679292591965</v>
      </c>
      <c r="H74">
        <v>24165.331961651478</v>
      </c>
      <c r="I74">
        <v>61.821822829867962</v>
      </c>
      <c r="J74">
        <v>2.2277151426583819</v>
      </c>
      <c r="K74">
        <v>132.34733094048715</v>
      </c>
      <c r="L74">
        <v>76.450348067945626</v>
      </c>
      <c r="M74">
        <v>24656.200263061408</v>
      </c>
      <c r="N74">
        <v>24159.065039062501</v>
      </c>
      <c r="O74">
        <v>23661.929815063595</v>
      </c>
      <c r="P74">
        <v>86.352706282106169</v>
      </c>
      <c r="Q74">
        <v>93.596092917910781</v>
      </c>
      <c r="R74">
        <v>-13.647293717893834</v>
      </c>
    </row>
    <row r="75" spans="1:18" x14ac:dyDescent="0.3">
      <c r="A75" s="21">
        <v>46239</v>
      </c>
      <c r="B75">
        <v>24669.19921875</v>
      </c>
      <c r="C75">
        <v>24677.599609375</v>
      </c>
      <c r="D75">
        <v>24497.94921875</v>
      </c>
      <c r="E75">
        <v>24624.650390625</v>
      </c>
      <c r="F75">
        <v>355500</v>
      </c>
      <c r="G75">
        <v>24347.982792774324</v>
      </c>
      <c r="H75">
        <v>24199.479550183169</v>
      </c>
      <c r="I75">
        <v>62.014264963380441</v>
      </c>
      <c r="J75">
        <v>2.2926354098513846</v>
      </c>
      <c r="K75">
        <v>148.50324259115587</v>
      </c>
      <c r="L75">
        <v>90.860928186676645</v>
      </c>
      <c r="M75">
        <v>24716.597982533669</v>
      </c>
      <c r="N75">
        <v>24196.195019531249</v>
      </c>
      <c r="O75">
        <v>23675.79205652883</v>
      </c>
      <c r="P75">
        <v>87.187466556078761</v>
      </c>
      <c r="Q75">
        <v>91.180057612728319</v>
      </c>
      <c r="R75">
        <v>-12.812533443921234</v>
      </c>
    </row>
    <row r="76" spans="1:18" x14ac:dyDescent="0.3">
      <c r="A76" s="21">
        <v>46240</v>
      </c>
      <c r="B76">
        <v>24641</v>
      </c>
      <c r="C76">
        <v>24677.05078125</v>
      </c>
      <c r="D76">
        <v>24604.150390625</v>
      </c>
      <c r="E76">
        <v>24636</v>
      </c>
      <c r="F76">
        <v>344000</v>
      </c>
      <c r="G76">
        <v>24392.293321912246</v>
      </c>
      <c r="H76">
        <v>24231.923485978074</v>
      </c>
      <c r="I76">
        <v>62.252788276581114</v>
      </c>
      <c r="J76">
        <v>1.2398105105303259</v>
      </c>
      <c r="K76">
        <v>160.36983593417244</v>
      </c>
      <c r="L76">
        <v>104.76271067315407</v>
      </c>
      <c r="M76">
        <v>24773.272450987552</v>
      </c>
      <c r="N76">
        <v>24229.85498046875</v>
      </c>
      <c r="O76">
        <v>23686.437509949948</v>
      </c>
      <c r="P76">
        <v>88.1591796875</v>
      </c>
      <c r="Q76">
        <v>87.233117508561648</v>
      </c>
      <c r="R76">
        <v>-11.8408203125</v>
      </c>
    </row>
    <row r="77" spans="1:18" x14ac:dyDescent="0.3">
      <c r="A77" s="21">
        <v>46241</v>
      </c>
      <c r="B77">
        <v>24538.900390625</v>
      </c>
      <c r="C77">
        <v>24630.400390625</v>
      </c>
      <c r="D77">
        <v>24522.75</v>
      </c>
      <c r="E77">
        <v>24570.650390625</v>
      </c>
      <c r="F77">
        <v>254800</v>
      </c>
      <c r="G77">
        <v>24419.732970274534</v>
      </c>
      <c r="H77">
        <v>24257.092726725892</v>
      </c>
      <c r="I77">
        <v>59.919723152367254</v>
      </c>
      <c r="J77">
        <v>1.3703421854694087</v>
      </c>
      <c r="K77">
        <v>162.64024354864159</v>
      </c>
      <c r="L77">
        <v>116.33821787240167</v>
      </c>
      <c r="M77">
        <v>24812.17870790857</v>
      </c>
      <c r="N77">
        <v>24248.04248046875</v>
      </c>
      <c r="O77">
        <v>23683.90625302893</v>
      </c>
      <c r="P77">
        <v>82.564178884845902</v>
      </c>
      <c r="Q77">
        <v>85.970275042808225</v>
      </c>
      <c r="R77">
        <v>-17.435821115154109</v>
      </c>
    </row>
    <row r="78" spans="1:18" x14ac:dyDescent="0.3">
      <c r="A78" s="21">
        <v>46244</v>
      </c>
      <c r="B78">
        <v>24581.25</v>
      </c>
      <c r="C78">
        <v>24620.94921875</v>
      </c>
      <c r="D78">
        <v>24511.099609375</v>
      </c>
      <c r="E78">
        <v>24583.80078125</v>
      </c>
      <c r="F78">
        <v>269500</v>
      </c>
      <c r="G78">
        <v>24444.974249277515</v>
      </c>
      <c r="H78">
        <v>24281.363287318563</v>
      </c>
      <c r="I78">
        <v>60.242621730337589</v>
      </c>
      <c r="J78">
        <v>1.6376157108525025</v>
      </c>
      <c r="K78">
        <v>163.61096195895152</v>
      </c>
      <c r="L78">
        <v>125.79276709754228</v>
      </c>
      <c r="M78">
        <v>24849.975975481233</v>
      </c>
      <c r="N78">
        <v>24266.682519531249</v>
      </c>
      <c r="O78">
        <v>23683.389063581264</v>
      </c>
      <c r="P78">
        <v>83.690068493150676</v>
      </c>
      <c r="Q78">
        <v>84.804475688498869</v>
      </c>
      <c r="R78">
        <v>-16.309931506849313</v>
      </c>
    </row>
    <row r="79" spans="1:18" x14ac:dyDescent="0.3">
      <c r="A79" s="21">
        <v>46245</v>
      </c>
      <c r="B79">
        <v>24575.099609375</v>
      </c>
      <c r="C79">
        <v>24576.849609375</v>
      </c>
      <c r="D79">
        <v>24429.25</v>
      </c>
      <c r="E79">
        <v>24471.69921875</v>
      </c>
      <c r="F79">
        <v>271800</v>
      </c>
      <c r="G79">
        <v>24449.085793698745</v>
      </c>
      <c r="H79">
        <v>24295.499977963122</v>
      </c>
      <c r="I79">
        <v>56.093949407682494</v>
      </c>
      <c r="J79">
        <v>1.9813479970828718</v>
      </c>
      <c r="K79">
        <v>153.58581573562333</v>
      </c>
      <c r="L79">
        <v>131.35137701697906</v>
      </c>
      <c r="M79">
        <v>24868.636593610412</v>
      </c>
      <c r="N79">
        <v>24287.664941406249</v>
      </c>
      <c r="O79">
        <v>23706.693289202085</v>
      </c>
      <c r="P79">
        <v>74.092331977739718</v>
      </c>
      <c r="Q79">
        <v>80.115526451912103</v>
      </c>
      <c r="R79">
        <v>-25.907668022260271</v>
      </c>
    </row>
    <row r="80" spans="1:18" x14ac:dyDescent="0.3">
      <c r="A80" s="21">
        <v>46246</v>
      </c>
      <c r="B80">
        <v>24472.44921875</v>
      </c>
      <c r="C80">
        <v>24473.30078125</v>
      </c>
      <c r="D80">
        <v>24265.94921875</v>
      </c>
      <c r="E80">
        <v>24435.94921875</v>
      </c>
      <c r="F80">
        <v>317600</v>
      </c>
      <c r="G80">
        <v>24447.064777735988</v>
      </c>
      <c r="H80">
        <v>24305.929400943933</v>
      </c>
      <c r="I80">
        <v>54.797909645980248</v>
      </c>
      <c r="J80">
        <v>2.3726816479676671</v>
      </c>
      <c r="K80">
        <v>141.13537679205547</v>
      </c>
      <c r="L80">
        <v>133.3081770260157</v>
      </c>
      <c r="M80">
        <v>24881.386074927384</v>
      </c>
      <c r="N80">
        <v>24305.537402343751</v>
      </c>
      <c r="O80">
        <v>23729.688729760117</v>
      </c>
      <c r="P80">
        <v>71.031544306506845</v>
      </c>
      <c r="Q80">
        <v>76.271314925799075</v>
      </c>
      <c r="R80">
        <v>-28.968455693493151</v>
      </c>
    </row>
    <row r="81" spans="1:18" x14ac:dyDescent="0.3">
      <c r="A81" s="21">
        <v>46247</v>
      </c>
      <c r="B81">
        <v>24431.599609375</v>
      </c>
      <c r="C81">
        <v>24431.599609375</v>
      </c>
      <c r="D81">
        <v>24311.400390625</v>
      </c>
      <c r="E81">
        <v>24395.849609375</v>
      </c>
      <c r="F81">
        <v>295800</v>
      </c>
      <c r="G81">
        <v>24439.185506443857</v>
      </c>
      <c r="H81">
        <v>24312.605434255325</v>
      </c>
      <c r="I81">
        <v>53.310055961364739</v>
      </c>
      <c r="J81">
        <v>2.6439538582426314</v>
      </c>
      <c r="K81">
        <v>126.58007218853163</v>
      </c>
      <c r="L81">
        <v>131.96255602880007</v>
      </c>
      <c r="M81">
        <v>24888.094638480507</v>
      </c>
      <c r="N81">
        <v>24321.6923828125</v>
      </c>
      <c r="O81">
        <v>23755.290127144493</v>
      </c>
      <c r="P81">
        <v>57.128159515717925</v>
      </c>
      <c r="Q81">
        <v>67.41734526665482</v>
      </c>
      <c r="R81">
        <v>-42.871840484282075</v>
      </c>
    </row>
    <row r="82" spans="1:18" x14ac:dyDescent="0.3">
      <c r="A82" s="21">
        <v>46248</v>
      </c>
      <c r="B82">
        <v>24361.900390625</v>
      </c>
      <c r="C82">
        <v>24405.19921875</v>
      </c>
      <c r="D82">
        <v>24296.80078125</v>
      </c>
      <c r="E82">
        <v>24366</v>
      </c>
      <c r="F82">
        <v>267700</v>
      </c>
      <c r="G82">
        <v>24427.926180081133</v>
      </c>
      <c r="H82">
        <v>24316.568985431259</v>
      </c>
      <c r="I82">
        <v>52.174425323823847</v>
      </c>
      <c r="J82">
        <v>1.542138541286997</v>
      </c>
      <c r="K82">
        <v>111.35719464987415</v>
      </c>
      <c r="L82">
        <v>127.84148368020183</v>
      </c>
      <c r="M82">
        <v>24890.005469142874</v>
      </c>
      <c r="N82">
        <v>24323.27734375</v>
      </c>
      <c r="O82">
        <v>23756.549218357126</v>
      </c>
      <c r="P82">
        <v>50.18906947320265</v>
      </c>
      <c r="Q82">
        <v>59.4495910984758</v>
      </c>
      <c r="R82">
        <v>-49.810930526797357</v>
      </c>
    </row>
    <row r="83" spans="1:18" x14ac:dyDescent="0.3">
      <c r="A83" s="21">
        <v>46251</v>
      </c>
      <c r="B83">
        <v>24343.44921875</v>
      </c>
      <c r="C83">
        <v>24360.099609375</v>
      </c>
      <c r="D83">
        <v>24226.94921875</v>
      </c>
      <c r="E83">
        <v>24287.650390625</v>
      </c>
      <c r="F83">
        <v>225400</v>
      </c>
      <c r="G83">
        <v>24406.34526072305</v>
      </c>
      <c r="H83">
        <v>24314.422656424878</v>
      </c>
      <c r="I83">
        <v>49.211134950148704</v>
      </c>
      <c r="J83">
        <v>1.2603559513338913</v>
      </c>
      <c r="K83">
        <v>91.922604298171791</v>
      </c>
      <c r="L83">
        <v>120.65770770225475</v>
      </c>
      <c r="M83">
        <v>24891.340257110125</v>
      </c>
      <c r="N83">
        <v>24325.73486328125</v>
      </c>
      <c r="O83">
        <v>23760.129469452375</v>
      </c>
      <c r="P83">
        <v>23.668764130308247</v>
      </c>
      <c r="Q83">
        <v>43.661997706409608</v>
      </c>
      <c r="R83">
        <v>-76.331235869691753</v>
      </c>
    </row>
    <row r="84" spans="1:18" x14ac:dyDescent="0.3">
      <c r="A84" s="21">
        <v>46252</v>
      </c>
      <c r="B84">
        <v>24223.849609375</v>
      </c>
      <c r="C84">
        <v>24269.650390625</v>
      </c>
      <c r="D84">
        <v>24154.900390625</v>
      </c>
      <c r="E84">
        <v>24154.900390625</v>
      </c>
      <c r="F84">
        <v>227000</v>
      </c>
      <c r="G84">
        <v>24367.66139106554</v>
      </c>
      <c r="H84">
        <v>24302.584687797222</v>
      </c>
      <c r="I84">
        <v>44.590118254070369</v>
      </c>
      <c r="J84">
        <v>-0.39298162982230878</v>
      </c>
      <c r="K84">
        <v>65.076703268317942</v>
      </c>
      <c r="L84">
        <v>109.54150668976737</v>
      </c>
      <c r="M84">
        <v>24891.572578655614</v>
      </c>
      <c r="N84">
        <v>24324.094921874999</v>
      </c>
      <c r="O84">
        <v>23756.617265094384</v>
      </c>
      <c r="P84">
        <v>0</v>
      </c>
      <c r="Q84">
        <v>24.619277867836967</v>
      </c>
      <c r="R84">
        <v>-100</v>
      </c>
    </row>
    <row r="85" spans="1:18" x14ac:dyDescent="0.3">
      <c r="A85" s="21">
        <v>46253</v>
      </c>
      <c r="B85">
        <v>24152.05078125</v>
      </c>
      <c r="C85">
        <v>24172.849609375</v>
      </c>
      <c r="D85">
        <v>24025.650390625</v>
      </c>
      <c r="E85">
        <v>24078.30078125</v>
      </c>
      <c r="F85">
        <v>238700</v>
      </c>
      <c r="G85">
        <v>24323.144331823994</v>
      </c>
      <c r="H85">
        <v>24285.943073746748</v>
      </c>
      <c r="I85">
        <v>42.131678198189988</v>
      </c>
      <c r="J85">
        <v>-0.98222696960036382</v>
      </c>
      <c r="K85">
        <v>37.201258077246166</v>
      </c>
      <c r="L85">
        <v>95.073456836381453</v>
      </c>
      <c r="M85">
        <v>24886.812775748374</v>
      </c>
      <c r="N85">
        <v>24328.197460937499</v>
      </c>
      <c r="O85">
        <v>23769.582146126624</v>
      </c>
      <c r="P85">
        <v>7.0327072935934192</v>
      </c>
      <c r="Q85">
        <v>10.233823807967221</v>
      </c>
      <c r="R85">
        <v>-92.967292706406582</v>
      </c>
    </row>
    <row r="86" spans="1:18" x14ac:dyDescent="0.3">
      <c r="A86" s="21">
        <v>46254</v>
      </c>
      <c r="B86">
        <v>24225.44921875</v>
      </c>
      <c r="C86">
        <v>24265.150390625</v>
      </c>
      <c r="D86">
        <v>24184.55078125</v>
      </c>
      <c r="E86">
        <v>24231.849609375</v>
      </c>
      <c r="F86">
        <v>253900</v>
      </c>
      <c r="G86">
        <v>24309.098978603604</v>
      </c>
      <c r="H86">
        <v>24281.929900280724</v>
      </c>
      <c r="I86">
        <v>48.286678353414274</v>
      </c>
      <c r="J86">
        <v>-0.62234453661901279</v>
      </c>
      <c r="K86">
        <v>27.169078322880523</v>
      </c>
      <c r="L86">
        <v>81.492581035396398</v>
      </c>
      <c r="M86">
        <v>24864.33297366324</v>
      </c>
      <c r="N86">
        <v>24346.309960937499</v>
      </c>
      <c r="O86">
        <v>23828.286948211757</v>
      </c>
      <c r="P86">
        <v>27.542791846786795</v>
      </c>
      <c r="Q86">
        <v>11.525166380126739</v>
      </c>
      <c r="R86">
        <v>-72.457208153213202</v>
      </c>
    </row>
    <row r="87" spans="1:18" x14ac:dyDescent="0.3">
      <c r="A87" s="21">
        <v>46255</v>
      </c>
      <c r="B87">
        <v>24284.05078125</v>
      </c>
      <c r="C87">
        <v>24284.05078125</v>
      </c>
      <c r="D87">
        <v>24206.80078125</v>
      </c>
      <c r="E87">
        <v>24252</v>
      </c>
      <c r="F87">
        <v>259300</v>
      </c>
      <c r="G87">
        <v>24300.31451437404</v>
      </c>
      <c r="H87">
        <v>24279.709668942269</v>
      </c>
      <c r="I87">
        <v>49.052507065619032</v>
      </c>
      <c r="J87">
        <v>-2.1082362156727097</v>
      </c>
      <c r="K87">
        <v>20.604845431771537</v>
      </c>
      <c r="L87">
        <v>69.315033844168241</v>
      </c>
      <c r="M87">
        <v>24814.616057546456</v>
      </c>
      <c r="N87">
        <v>24370.537499999999</v>
      </c>
      <c r="O87">
        <v>23926.458942453541</v>
      </c>
      <c r="P87">
        <v>33.372592609657204</v>
      </c>
      <c r="Q87">
        <v>22.649363916679139</v>
      </c>
      <c r="R87">
        <v>-66.627407390342796</v>
      </c>
    </row>
    <row r="88" spans="1:18" x14ac:dyDescent="0.3">
      <c r="A88" s="21">
        <v>46258</v>
      </c>
      <c r="B88">
        <v>24285.05078125</v>
      </c>
      <c r="C88">
        <v>24313</v>
      </c>
      <c r="D88">
        <v>24144.30078125</v>
      </c>
      <c r="E88">
        <v>24219.05078125</v>
      </c>
      <c r="F88">
        <v>236300</v>
      </c>
      <c r="G88">
        <v>24287.812394380857</v>
      </c>
      <c r="H88">
        <v>24275.21041044408</v>
      </c>
      <c r="I88">
        <v>47.805823177687422</v>
      </c>
      <c r="J88">
        <v>-1.6081706734257795</v>
      </c>
      <c r="K88">
        <v>12.601983936776378</v>
      </c>
      <c r="L88">
        <v>57.972423810154488</v>
      </c>
      <c r="M88">
        <v>24796.388539089905</v>
      </c>
      <c r="N88">
        <v>24381.692578124999</v>
      </c>
      <c r="O88">
        <v>23966.996617160094</v>
      </c>
      <c r="P88">
        <v>29.664947063793072</v>
      </c>
      <c r="Q88">
        <v>30.193443840079027</v>
      </c>
      <c r="R88">
        <v>-70.335052936206935</v>
      </c>
    </row>
    <row r="89" spans="1:18" x14ac:dyDescent="0.3">
      <c r="A89" s="21">
        <v>46259</v>
      </c>
      <c r="B89">
        <v>24175.75</v>
      </c>
      <c r="C89">
        <v>24334.55078125</v>
      </c>
      <c r="D89">
        <v>24115.44921875</v>
      </c>
      <c r="E89">
        <v>24334.55078125</v>
      </c>
      <c r="F89">
        <v>239500</v>
      </c>
      <c r="G89">
        <v>24295.002918943977</v>
      </c>
      <c r="H89">
        <v>24279.611434570681</v>
      </c>
      <c r="I89">
        <v>52.375131590061955</v>
      </c>
      <c r="J89">
        <v>-1.1780862053799801</v>
      </c>
      <c r="K89">
        <v>15.391484373296407</v>
      </c>
      <c r="L89">
        <v>49.456235891227443</v>
      </c>
      <c r="M89">
        <v>24770.751753596625</v>
      </c>
      <c r="N89">
        <v>24399.152636718751</v>
      </c>
      <c r="O89">
        <v>24027.553519840876</v>
      </c>
      <c r="P89">
        <v>47.420971044954229</v>
      </c>
      <c r="Q89">
        <v>36.819503572801501</v>
      </c>
      <c r="R89">
        <v>-52.579028955045771</v>
      </c>
    </row>
    <row r="90" spans="1:18" x14ac:dyDescent="0.3">
      <c r="A90" s="21">
        <v>46260</v>
      </c>
      <c r="B90">
        <v>24341.94921875</v>
      </c>
      <c r="C90">
        <v>24378.599609375</v>
      </c>
      <c r="D90">
        <v>24207.75</v>
      </c>
      <c r="E90">
        <v>24207.75</v>
      </c>
      <c r="F90">
        <v>244800</v>
      </c>
      <c r="G90">
        <v>24281.579387413891</v>
      </c>
      <c r="H90">
        <v>24274.282264792062</v>
      </c>
      <c r="I90">
        <v>47.462608021859552</v>
      </c>
      <c r="J90">
        <v>-1.7383097905504186</v>
      </c>
      <c r="K90">
        <v>7.2971226218287484</v>
      </c>
      <c r="L90">
        <v>41.024413212353444</v>
      </c>
      <c r="M90">
        <v>24772.674406744445</v>
      </c>
      <c r="N90">
        <v>24397.030175781249</v>
      </c>
      <c r="O90">
        <v>24021.385944818052</v>
      </c>
      <c r="P90">
        <v>30.111551777594048</v>
      </c>
      <c r="Q90">
        <v>35.732489962113782</v>
      </c>
      <c r="R90">
        <v>-69.888448222405955</v>
      </c>
    </row>
    <row r="91" spans="1:18" x14ac:dyDescent="0.3">
      <c r="A91" s="21">
        <v>46261</v>
      </c>
      <c r="B91">
        <v>24277.599609375</v>
      </c>
      <c r="C91">
        <v>24297.44921875</v>
      </c>
      <c r="D91">
        <v>24090.849609375</v>
      </c>
      <c r="E91">
        <v>24090.849609375</v>
      </c>
      <c r="F91">
        <v>323400</v>
      </c>
      <c r="G91">
        <v>24252.236334394056</v>
      </c>
      <c r="H91">
        <v>24260.680243211624</v>
      </c>
      <c r="I91">
        <v>43.419264004461375</v>
      </c>
      <c r="J91">
        <v>-1.9527394416595012</v>
      </c>
      <c r="K91">
        <v>-8.4439088175677171</v>
      </c>
      <c r="L91">
        <v>31.130748782907162</v>
      </c>
      <c r="M91">
        <v>24784.415908622534</v>
      </c>
      <c r="N91">
        <v>24385.715136718751</v>
      </c>
      <c r="O91">
        <v>23987.014364814968</v>
      </c>
      <c r="P91">
        <v>10.952351267909696</v>
      </c>
      <c r="Q91">
        <v>29.494958030152659</v>
      </c>
      <c r="R91">
        <v>-89.047648732090295</v>
      </c>
    </row>
    <row r="92" spans="1:18" x14ac:dyDescent="0.3">
      <c r="A92" s="21">
        <v>46262</v>
      </c>
      <c r="B92">
        <v>24122.599609375</v>
      </c>
      <c r="C92">
        <v>24188.30078125</v>
      </c>
      <c r="D92">
        <v>24076.849609375</v>
      </c>
      <c r="E92">
        <v>24175.650390625</v>
      </c>
      <c r="F92">
        <v>296100</v>
      </c>
      <c r="G92">
        <v>24240.453878025739</v>
      </c>
      <c r="H92">
        <v>24254.37554795741</v>
      </c>
      <c r="I92">
        <v>46.949830879684157</v>
      </c>
      <c r="J92">
        <v>-1.6602412062185934</v>
      </c>
      <c r="K92">
        <v>-13.921669931671204</v>
      </c>
      <c r="L92">
        <v>22.120265022897364</v>
      </c>
      <c r="M92">
        <v>24784.94691235623</v>
      </c>
      <c r="N92">
        <v>24375.317675781251</v>
      </c>
      <c r="O92">
        <v>23965.688439206271</v>
      </c>
      <c r="P92">
        <v>27.213391256280694</v>
      </c>
      <c r="Q92">
        <v>22.759098100594812</v>
      </c>
      <c r="R92">
        <v>-72.786608743719299</v>
      </c>
    </row>
    <row r="93" spans="1:18" x14ac:dyDescent="0.3">
      <c r="A93" s="21">
        <v>46265</v>
      </c>
      <c r="B93">
        <v>24117.55078125</v>
      </c>
      <c r="C93">
        <v>24128.69921875</v>
      </c>
      <c r="D93">
        <v>23993.599609375</v>
      </c>
      <c r="E93">
        <v>24080.400390625</v>
      </c>
      <c r="F93">
        <v>710900</v>
      </c>
      <c r="G93">
        <v>24215.830258424285</v>
      </c>
      <c r="H93">
        <v>24241.476777675241</v>
      </c>
      <c r="I93">
        <v>43.654812852742147</v>
      </c>
      <c r="J93">
        <v>-1.5989851159382895</v>
      </c>
      <c r="K93">
        <v>-25.646519250956771</v>
      </c>
      <c r="L93">
        <v>12.566908153627313</v>
      </c>
      <c r="M93">
        <v>24724.712922079802</v>
      </c>
      <c r="N93">
        <v>24340.622656250001</v>
      </c>
      <c r="O93">
        <v>23956.532390420201</v>
      </c>
      <c r="P93">
        <v>18.094761142801303</v>
      </c>
      <c r="Q93">
        <v>18.753501222330566</v>
      </c>
      <c r="R93">
        <v>-81.905238857198697</v>
      </c>
    </row>
    <row r="94" spans="1:18" x14ac:dyDescent="0.3">
      <c r="A94" s="21">
        <v>46266</v>
      </c>
      <c r="B94">
        <v>24077.55078125</v>
      </c>
      <c r="C94">
        <v>24143.150390625</v>
      </c>
      <c r="D94">
        <v>23952.55078125</v>
      </c>
      <c r="E94">
        <v>24055.80078125</v>
      </c>
      <c r="F94">
        <v>334200</v>
      </c>
      <c r="G94">
        <v>24191.210333651557</v>
      </c>
      <c r="H94">
        <v>24227.711417668652</v>
      </c>
      <c r="I94">
        <v>42.819001608506291</v>
      </c>
      <c r="J94">
        <v>-1.5556933520237792</v>
      </c>
      <c r="K94">
        <v>-36.501084017094399</v>
      </c>
      <c r="L94">
        <v>2.7533097075676145</v>
      </c>
      <c r="M94">
        <v>24694.080819565537</v>
      </c>
      <c r="N94">
        <v>24312.667675781249</v>
      </c>
      <c r="O94">
        <v>23931.254531996961</v>
      </c>
      <c r="P94">
        <v>21.553126516167698</v>
      </c>
      <c r="Q94">
        <v>22.2870929717499</v>
      </c>
      <c r="R94">
        <v>-78.446873483832306</v>
      </c>
    </row>
    <row r="95" spans="1:18" x14ac:dyDescent="0.3">
      <c r="A95" s="21">
        <v>46267</v>
      </c>
      <c r="B95">
        <v>23858</v>
      </c>
      <c r="C95">
        <v>23914.44921875</v>
      </c>
      <c r="D95">
        <v>23786.80078125</v>
      </c>
      <c r="E95">
        <v>23914.44921875</v>
      </c>
      <c r="F95">
        <v>318900</v>
      </c>
      <c r="G95">
        <v>24148.631692969346</v>
      </c>
      <c r="H95">
        <v>24204.488717638429</v>
      </c>
      <c r="I95">
        <v>38.283318155403279</v>
      </c>
      <c r="J95">
        <v>-1.9732880729023905</v>
      </c>
      <c r="K95">
        <v>-55.85702466908333</v>
      </c>
      <c r="L95">
        <v>-8.9687571791486196</v>
      </c>
      <c r="M95">
        <v>24668.386820334566</v>
      </c>
      <c r="N95">
        <v>24277.157617187499</v>
      </c>
      <c r="O95">
        <v>23885.928414040431</v>
      </c>
      <c r="P95">
        <v>20.641778788453035</v>
      </c>
      <c r="Q95">
        <v>20.096555482474013</v>
      </c>
      <c r="R95">
        <v>-79.358221211546962</v>
      </c>
    </row>
    <row r="96" spans="1:18" x14ac:dyDescent="0.3">
      <c r="A96" s="21">
        <v>46268</v>
      </c>
      <c r="B96">
        <v>23997.94921875</v>
      </c>
      <c r="C96">
        <v>24025.400390625</v>
      </c>
      <c r="D96">
        <v>23873.44921875</v>
      </c>
      <c r="E96">
        <v>23873.44921875</v>
      </c>
      <c r="F96">
        <v>239100</v>
      </c>
      <c r="G96">
        <v>24106.295921293553</v>
      </c>
      <c r="H96">
        <v>24179.949571109137</v>
      </c>
      <c r="I96">
        <v>37.057160632146044</v>
      </c>
      <c r="J96">
        <v>-2.0214675418616102</v>
      </c>
      <c r="K96">
        <v>-73.653649815583776</v>
      </c>
      <c r="L96">
        <v>-21.905735716488554</v>
      </c>
      <c r="M96">
        <v>24631.63938042353</v>
      </c>
      <c r="N96">
        <v>24239.030078125001</v>
      </c>
      <c r="O96">
        <v>23846.420775826471</v>
      </c>
      <c r="P96">
        <v>14.64153583651539</v>
      </c>
      <c r="Q96">
        <v>18.945480380378708</v>
      </c>
      <c r="R96">
        <v>-85.358464163484598</v>
      </c>
    </row>
    <row r="97" spans="1:18" x14ac:dyDescent="0.3">
      <c r="A97" s="21">
        <v>46269</v>
      </c>
      <c r="B97">
        <v>23910.900390625</v>
      </c>
      <c r="C97">
        <v>24005.75</v>
      </c>
      <c r="D97">
        <v>23895.849609375</v>
      </c>
      <c r="E97">
        <v>23897.69921875</v>
      </c>
      <c r="F97">
        <v>231400</v>
      </c>
      <c r="G97">
        <v>24074.204116789977</v>
      </c>
      <c r="H97">
        <v>24159.028163169965</v>
      </c>
      <c r="I97">
        <v>38.315578171060594</v>
      </c>
      <c r="J97">
        <v>-1.6055532980889797</v>
      </c>
      <c r="K97">
        <v>-84.824046379988431</v>
      </c>
      <c r="L97">
        <v>-34.489397857011205</v>
      </c>
      <c r="M97">
        <v>24593.648940570514</v>
      </c>
      <c r="N97">
        <v>24205.382519531249</v>
      </c>
      <c r="O97">
        <v>23817.116098491984</v>
      </c>
      <c r="P97">
        <v>18.739212081808311</v>
      </c>
      <c r="Q97">
        <v>18.007508902258913</v>
      </c>
      <c r="R97">
        <v>-81.260787918191696</v>
      </c>
    </row>
    <row r="98" spans="1:18" x14ac:dyDescent="0.3">
      <c r="A98" s="21">
        <v>46272</v>
      </c>
      <c r="B98">
        <v>23883.150390625</v>
      </c>
      <c r="C98">
        <v>23890</v>
      </c>
      <c r="D98">
        <v>23737.900390625</v>
      </c>
      <c r="E98">
        <v>23779.150390625</v>
      </c>
      <c r="F98">
        <v>205900</v>
      </c>
      <c r="G98">
        <v>24028.811230919724</v>
      </c>
      <c r="H98">
        <v>24130.871654918235</v>
      </c>
      <c r="I98">
        <v>34.666686492552628</v>
      </c>
      <c r="J98">
        <v>-1.5555849700205626</v>
      </c>
      <c r="K98">
        <v>-102.0604239985114</v>
      </c>
      <c r="L98">
        <v>-48.003603092032172</v>
      </c>
      <c r="M98">
        <v>24555.066779099183</v>
      </c>
      <c r="N98">
        <v>24165.15</v>
      </c>
      <c r="O98">
        <v>23775.23322090082</v>
      </c>
      <c r="P98">
        <v>6.438278492125912</v>
      </c>
      <c r="Q98">
        <v>13.273008803483203</v>
      </c>
      <c r="R98">
        <v>-93.561721507874083</v>
      </c>
    </row>
    <row r="99" spans="1:18" x14ac:dyDescent="0.3">
      <c r="A99" s="21">
        <v>46273</v>
      </c>
      <c r="B99">
        <v>23743.099609375</v>
      </c>
      <c r="C99">
        <v>23758.94921875</v>
      </c>
      <c r="D99">
        <v>23623.099609375</v>
      </c>
      <c r="E99">
        <v>23635.099609375</v>
      </c>
      <c r="F99">
        <v>230100</v>
      </c>
      <c r="G99">
        <v>23968.240206663409</v>
      </c>
      <c r="H99">
        <v>24094.126757414615</v>
      </c>
      <c r="I99">
        <v>30.82523762357367</v>
      </c>
      <c r="J99">
        <v>-1.8406663157066516</v>
      </c>
      <c r="K99">
        <v>-125.8865507512055</v>
      </c>
      <c r="L99">
        <v>-63.580192630064111</v>
      </c>
      <c r="M99">
        <v>24552.309713242514</v>
      </c>
      <c r="N99">
        <v>24123.320019531249</v>
      </c>
      <c r="O99">
        <v>23694.330325819985</v>
      </c>
      <c r="P99">
        <v>1.5883520847121111</v>
      </c>
      <c r="Q99">
        <v>8.9219475528821111</v>
      </c>
      <c r="R99">
        <v>-98.411647915287887</v>
      </c>
    </row>
    <row r="100" spans="1:18" x14ac:dyDescent="0.3">
      <c r="A100" s="21">
        <v>46274</v>
      </c>
      <c r="B100">
        <v>23522.05078125</v>
      </c>
      <c r="C100">
        <v>23571.55078125</v>
      </c>
      <c r="D100">
        <v>23431.5</v>
      </c>
      <c r="E100">
        <v>23431.5</v>
      </c>
      <c r="F100">
        <v>352900</v>
      </c>
      <c r="G100">
        <v>23885.664783843247</v>
      </c>
      <c r="H100">
        <v>24045.017254110833</v>
      </c>
      <c r="I100">
        <v>26.376420202310385</v>
      </c>
      <c r="J100">
        <v>-3.3028828681131883</v>
      </c>
      <c r="K100">
        <v>-159.35247026758589</v>
      </c>
      <c r="L100">
        <v>-82.734648163665085</v>
      </c>
      <c r="M100">
        <v>24576.681505244891</v>
      </c>
      <c r="N100">
        <v>24073.097558593749</v>
      </c>
      <c r="O100">
        <v>23569.513611942606</v>
      </c>
      <c r="P100">
        <v>0</v>
      </c>
      <c r="Q100">
        <v>2.6755435256126745</v>
      </c>
      <c r="R100">
        <v>-100</v>
      </c>
    </row>
    <row r="101" spans="1:18" x14ac:dyDescent="0.3">
      <c r="A101" s="21">
        <v>46275</v>
      </c>
      <c r="B101">
        <v>23446.599609375</v>
      </c>
      <c r="C101">
        <v>23494.94921875</v>
      </c>
      <c r="D101">
        <v>23380.099609375</v>
      </c>
      <c r="E101">
        <v>23477.80078125</v>
      </c>
      <c r="F101">
        <v>253200</v>
      </c>
      <c r="G101">
        <v>23822.916471630186</v>
      </c>
      <c r="H101">
        <v>24002.980580659278</v>
      </c>
      <c r="I101">
        <v>28.88984467216541</v>
      </c>
      <c r="J101">
        <v>-3.1923108145719969</v>
      </c>
      <c r="K101">
        <v>-180.06410902909192</v>
      </c>
      <c r="L101">
        <v>-102.20054034170704</v>
      </c>
      <c r="M101">
        <v>24572.539709954082</v>
      </c>
      <c r="N101">
        <v>24027.195117187501</v>
      </c>
      <c r="O101">
        <v>23481.850524420919</v>
      </c>
      <c r="P101">
        <v>9.7847943790686021</v>
      </c>
      <c r="Q101">
        <v>3.791048821260238</v>
      </c>
      <c r="R101">
        <v>-90.2152056209314</v>
      </c>
    </row>
    <row r="102" spans="1:18" x14ac:dyDescent="0.3">
      <c r="A102" s="21">
        <v>46276</v>
      </c>
      <c r="B102">
        <v>23270.30078125</v>
      </c>
      <c r="C102">
        <v>23448.099609375</v>
      </c>
      <c r="D102">
        <v>23231.400390625</v>
      </c>
      <c r="E102">
        <v>23398.099609375</v>
      </c>
      <c r="F102">
        <v>293000</v>
      </c>
      <c r="G102">
        <v>23757.560027650597</v>
      </c>
      <c r="H102">
        <v>23958.154204949646</v>
      </c>
      <c r="I102">
        <v>27.170333696737373</v>
      </c>
      <c r="J102">
        <v>-3.3896917731828125</v>
      </c>
      <c r="K102">
        <v>-200.59417729904817</v>
      </c>
      <c r="L102">
        <v>-121.87926773718388</v>
      </c>
      <c r="M102">
        <v>24567.605184538508</v>
      </c>
      <c r="N102">
        <v>23978.800097656251</v>
      </c>
      <c r="O102">
        <v>23389.995010773993</v>
      </c>
      <c r="P102">
        <v>14.530973873189801</v>
      </c>
      <c r="Q102">
        <v>8.1052560840861343</v>
      </c>
      <c r="R102">
        <v>-85.469026126810206</v>
      </c>
    </row>
    <row r="103" spans="1:18" x14ac:dyDescent="0.3">
      <c r="A103" s="21">
        <v>46280</v>
      </c>
      <c r="B103">
        <v>23576.150390625</v>
      </c>
      <c r="C103">
        <v>23592.849609375</v>
      </c>
      <c r="D103">
        <v>23118.599609375</v>
      </c>
      <c r="E103">
        <v>23118.599609375</v>
      </c>
      <c r="F103">
        <v>338800</v>
      </c>
      <c r="G103">
        <v>23659.258420215763</v>
      </c>
      <c r="H103">
        <v>23895.938787866075</v>
      </c>
      <c r="I103">
        <v>22.183812028129751</v>
      </c>
      <c r="J103">
        <v>-4.996809609536335</v>
      </c>
      <c r="K103">
        <v>-236.68036765031138</v>
      </c>
      <c r="L103">
        <v>-144.83948772355106</v>
      </c>
      <c r="M103">
        <v>24604.453842152685</v>
      </c>
      <c r="N103">
        <v>23920.347558593749</v>
      </c>
      <c r="O103">
        <v>23236.241275034812</v>
      </c>
      <c r="P103">
        <v>0</v>
      </c>
      <c r="Q103">
        <v>8.1052560840861343</v>
      </c>
      <c r="R103">
        <v>-100</v>
      </c>
    </row>
    <row r="104" spans="1:18" x14ac:dyDescent="0.3">
      <c r="A104" s="21">
        <v>46281</v>
      </c>
      <c r="B104">
        <v>23201.599609375</v>
      </c>
      <c r="C104">
        <v>23284.75</v>
      </c>
      <c r="D104">
        <v>23116.099609375</v>
      </c>
      <c r="E104">
        <v>23217.599609375</v>
      </c>
      <c r="F104">
        <v>261600</v>
      </c>
      <c r="G104">
        <v>23591.310908151652</v>
      </c>
      <c r="H104">
        <v>23845.671850186496</v>
      </c>
      <c r="I104">
        <v>27.275059184249869</v>
      </c>
      <c r="J104">
        <v>-4.0902206550588183</v>
      </c>
      <c r="K104">
        <v>-254.3609420348439</v>
      </c>
      <c r="L104">
        <v>-166.74377858866529</v>
      </c>
      <c r="M104">
        <v>24615.871224018483</v>
      </c>
      <c r="N104">
        <v>23873.482519531251</v>
      </c>
      <c r="O104">
        <v>23131.09381504402</v>
      </c>
      <c r="P104">
        <v>8.5918680799072824</v>
      </c>
      <c r="Q104">
        <v>7.7076139843656941</v>
      </c>
      <c r="R104">
        <v>-91.408131920092714</v>
      </c>
    </row>
    <row r="105" spans="1:18" x14ac:dyDescent="0.3">
      <c r="A105" s="21">
        <v>46282</v>
      </c>
      <c r="B105">
        <v>23195.25</v>
      </c>
      <c r="C105">
        <v>23363.55078125</v>
      </c>
      <c r="D105">
        <v>23193.650390625</v>
      </c>
      <c r="E105">
        <v>23270.599609375</v>
      </c>
      <c r="F105">
        <v>259700</v>
      </c>
      <c r="G105">
        <v>23541.970706678429</v>
      </c>
      <c r="H105">
        <v>23803.058528468107</v>
      </c>
      <c r="I105">
        <v>29.918578506734065</v>
      </c>
      <c r="J105">
        <v>-3.4048197274071934</v>
      </c>
      <c r="K105">
        <v>-261.08782178967886</v>
      </c>
      <c r="L105">
        <v>-185.61258723083594</v>
      </c>
      <c r="M105">
        <v>24615.37724928707</v>
      </c>
      <c r="N105">
        <v>23833.097460937501</v>
      </c>
      <c r="O105">
        <v>23050.817672587931</v>
      </c>
      <c r="P105">
        <v>14.409609320778843</v>
      </c>
      <c r="Q105">
        <v>7.6671591335620422</v>
      </c>
      <c r="R105">
        <v>-85.590390679221144</v>
      </c>
    </row>
    <row r="106" spans="1:18" x14ac:dyDescent="0.3">
      <c r="A106" s="21">
        <v>46283</v>
      </c>
      <c r="B106">
        <v>23334.69921875</v>
      </c>
      <c r="C106">
        <v>23389.150390625</v>
      </c>
      <c r="D106">
        <v>23286.599609375</v>
      </c>
      <c r="E106">
        <v>23346.400390625</v>
      </c>
      <c r="F106">
        <v>375300</v>
      </c>
      <c r="G106">
        <v>23511.882964889857</v>
      </c>
      <c r="H106">
        <v>23769.220693139672</v>
      </c>
      <c r="I106">
        <v>33.634155242959508</v>
      </c>
      <c r="J106">
        <v>-3.4301042023736961</v>
      </c>
      <c r="K106">
        <v>-257.33772824981497</v>
      </c>
      <c r="L106">
        <v>-199.95761543582867</v>
      </c>
      <c r="M106">
        <v>24576.290977999146</v>
      </c>
      <c r="N106">
        <v>23788.825000000001</v>
      </c>
      <c r="O106">
        <v>23001.359022000855</v>
      </c>
      <c r="P106">
        <v>22.423504801749548</v>
      </c>
      <c r="Q106">
        <v>15.141660734145225</v>
      </c>
      <c r="R106">
        <v>-77.576495198250456</v>
      </c>
    </row>
    <row r="107" spans="1:18" x14ac:dyDescent="0.3">
      <c r="A107" s="21">
        <v>46286</v>
      </c>
      <c r="B107">
        <v>23330.19921875</v>
      </c>
      <c r="C107">
        <v>23466.80078125</v>
      </c>
      <c r="D107">
        <v>23314.80078125</v>
      </c>
      <c r="E107">
        <v>23414.30078125</v>
      </c>
      <c r="F107">
        <v>213600</v>
      </c>
      <c r="G107">
        <v>23496.870320891016</v>
      </c>
      <c r="H107">
        <v>23742.922192814192</v>
      </c>
      <c r="I107">
        <v>36.863306873120472</v>
      </c>
      <c r="J107">
        <v>-2.7661483969109057</v>
      </c>
      <c r="K107">
        <v>-246.0518719231768</v>
      </c>
      <c r="L107">
        <v>-209.17646673391368</v>
      </c>
      <c r="M107">
        <v>24519.650644202455</v>
      </c>
      <c r="N107">
        <v>23746.940039062501</v>
      </c>
      <c r="O107">
        <v>22974.229433922548</v>
      </c>
      <c r="P107">
        <v>29.034705714557386</v>
      </c>
      <c r="Q107">
        <v>21.95593994569526</v>
      </c>
      <c r="R107">
        <v>-70.96529428544261</v>
      </c>
    </row>
    <row r="108" spans="1:18" x14ac:dyDescent="0.3">
      <c r="A108" s="21">
        <v>46287</v>
      </c>
      <c r="B108">
        <v>23454.05078125</v>
      </c>
      <c r="C108">
        <v>23489</v>
      </c>
      <c r="D108">
        <v>23285.75</v>
      </c>
      <c r="E108">
        <v>23329</v>
      </c>
      <c r="F108">
        <v>244100</v>
      </c>
      <c r="G108">
        <v>23471.044117150162</v>
      </c>
      <c r="H108">
        <v>23712.25250364087</v>
      </c>
      <c r="I108">
        <v>34.586550894135499</v>
      </c>
      <c r="J108">
        <v>-3.021311939931326</v>
      </c>
      <c r="K108">
        <v>-241.2083864907072</v>
      </c>
      <c r="L108">
        <v>-215.58285068561446</v>
      </c>
      <c r="M108">
        <v>24463.090097978922</v>
      </c>
      <c r="N108">
        <v>23702.4375</v>
      </c>
      <c r="O108">
        <v>22941.784902021078</v>
      </c>
      <c r="P108">
        <v>23.413637710981565</v>
      </c>
      <c r="Q108">
        <v>24.957282742429499</v>
      </c>
      <c r="R108">
        <v>-76.586362289018425</v>
      </c>
    </row>
    <row r="109" spans="1:18" x14ac:dyDescent="0.3">
      <c r="A109" s="21">
        <v>46288</v>
      </c>
      <c r="B109">
        <v>23352.150390625</v>
      </c>
      <c r="C109">
        <v>23466.900390625</v>
      </c>
      <c r="D109">
        <v>23349.55078125</v>
      </c>
      <c r="E109">
        <v>23446.80078125</v>
      </c>
      <c r="F109">
        <v>237600</v>
      </c>
      <c r="G109">
        <v>23467.314373101144</v>
      </c>
      <c r="H109">
        <v>23692.584196041527</v>
      </c>
      <c r="I109">
        <v>40.089610101526297</v>
      </c>
      <c r="J109">
        <v>-1.9555057832289169</v>
      </c>
      <c r="K109">
        <v>-225.26982294038316</v>
      </c>
      <c r="L109">
        <v>-217.520245136651</v>
      </c>
      <c r="M109">
        <v>24365.11088606629</v>
      </c>
      <c r="N109">
        <v>23658.05</v>
      </c>
      <c r="O109">
        <v>22950.989113933709</v>
      </c>
      <c r="P109">
        <v>36.368732843316245</v>
      </c>
      <c r="Q109">
        <v>29.605692089618401</v>
      </c>
      <c r="R109">
        <v>-63.631267156683748</v>
      </c>
    </row>
    <row r="110" spans="1:18" x14ac:dyDescent="0.3">
      <c r="A110" s="21">
        <v>46289</v>
      </c>
      <c r="B110">
        <v>23221.80078125</v>
      </c>
      <c r="C110">
        <v>23281.94921875</v>
      </c>
      <c r="D110">
        <v>23046.150390625</v>
      </c>
      <c r="E110">
        <v>23063.099609375</v>
      </c>
      <c r="F110">
        <v>271700</v>
      </c>
      <c r="G110">
        <v>23405.127485465749</v>
      </c>
      <c r="H110">
        <v>23645.944253210906</v>
      </c>
      <c r="I110">
        <v>30.954877088056676</v>
      </c>
      <c r="J110">
        <v>-3.3943549671010986</v>
      </c>
      <c r="K110">
        <v>-240.81676774515654</v>
      </c>
      <c r="L110">
        <v>-222.17954965851135</v>
      </c>
      <c r="M110">
        <v>24305.833547525683</v>
      </c>
      <c r="N110">
        <v>23600.817480468751</v>
      </c>
      <c r="O110">
        <v>22895.80141341182</v>
      </c>
      <c r="P110">
        <v>1.7662802886132114</v>
      </c>
      <c r="Q110">
        <v>20.516216947637005</v>
      </c>
      <c r="R110">
        <v>-98.233719711386797</v>
      </c>
    </row>
    <row r="111" spans="1:18" x14ac:dyDescent="0.3">
      <c r="A111" s="21">
        <v>46290</v>
      </c>
      <c r="B111">
        <v>23035</v>
      </c>
      <c r="C111">
        <v>23162.69921875</v>
      </c>
      <c r="D111">
        <v>23020.94921875</v>
      </c>
      <c r="E111">
        <v>23140.5</v>
      </c>
      <c r="F111">
        <v>242700</v>
      </c>
      <c r="G111">
        <v>23364.415564121715</v>
      </c>
      <c r="H111">
        <v>23608.495421898071</v>
      </c>
      <c r="I111">
        <v>34.211366010970551</v>
      </c>
      <c r="J111">
        <v>-3.1685025902238539</v>
      </c>
      <c r="K111">
        <v>-244.07985777635622</v>
      </c>
      <c r="L111">
        <v>-226.55961128220008</v>
      </c>
      <c r="M111">
        <v>24247.270852838978</v>
      </c>
      <c r="N111">
        <v>23553.3</v>
      </c>
      <c r="O111">
        <v>22859.329147161021</v>
      </c>
      <c r="P111">
        <v>13.756478197746283</v>
      </c>
      <c r="Q111">
        <v>17.29716377655858</v>
      </c>
      <c r="R111">
        <v>-86.243521802253724</v>
      </c>
    </row>
    <row r="112" spans="1:18" x14ac:dyDescent="0.3">
      <c r="A112" s="21">
        <v>46293</v>
      </c>
      <c r="B112">
        <v>23064.900390625</v>
      </c>
      <c r="C112">
        <v>23080.25</v>
      </c>
      <c r="D112">
        <v>22762.19921875</v>
      </c>
      <c r="E112">
        <v>22780.25</v>
      </c>
      <c r="F112">
        <v>261500</v>
      </c>
      <c r="G112">
        <v>23274.543937932391</v>
      </c>
      <c r="H112">
        <v>23547.130987941669</v>
      </c>
      <c r="I112">
        <v>27.669965552987662</v>
      </c>
      <c r="J112">
        <v>-4.2007404563067174</v>
      </c>
      <c r="K112">
        <v>-272.58705000927876</v>
      </c>
      <c r="L112">
        <v>-235.7650990278172</v>
      </c>
      <c r="M112">
        <v>24194.423860784438</v>
      </c>
      <c r="N112">
        <v>23483.529980468749</v>
      </c>
      <c r="O112">
        <v>22772.63610015306</v>
      </c>
      <c r="P112">
        <v>1.8109637572109354</v>
      </c>
      <c r="Q112">
        <v>5.7779074145234768</v>
      </c>
      <c r="R112">
        <v>-98.189036242789058</v>
      </c>
    </row>
    <row r="113" spans="1:18" x14ac:dyDescent="0.3">
      <c r="A113" s="21">
        <v>46294</v>
      </c>
      <c r="B113">
        <v>22732.44921875</v>
      </c>
      <c r="C113">
        <v>22753.25</v>
      </c>
      <c r="D113">
        <v>22569.650390625</v>
      </c>
      <c r="E113">
        <v>22716.19921875</v>
      </c>
      <c r="F113">
        <v>603200</v>
      </c>
      <c r="G113">
        <v>23188.644749605777</v>
      </c>
      <c r="H113">
        <v>23485.568483807168</v>
      </c>
      <c r="I113">
        <v>26.69273177611035</v>
      </c>
      <c r="J113">
        <v>-3.8878634142100799</v>
      </c>
      <c r="K113">
        <v>-296.9237342013912</v>
      </c>
      <c r="L113">
        <v>-247.99682606274604</v>
      </c>
      <c r="M113">
        <v>24146.576660946273</v>
      </c>
      <c r="N113">
        <v>23415.319921875001</v>
      </c>
      <c r="O113">
        <v>22684.063182803729</v>
      </c>
      <c r="P113">
        <v>14.322609462508446</v>
      </c>
      <c r="Q113">
        <v>9.9633504724885551</v>
      </c>
      <c r="R113">
        <v>-85.677390537491547</v>
      </c>
    </row>
    <row r="114" spans="1:18" x14ac:dyDescent="0.3">
      <c r="A114" s="21">
        <v>46295</v>
      </c>
      <c r="B114">
        <v>22665</v>
      </c>
      <c r="C114">
        <v>22809.349609375</v>
      </c>
      <c r="D114">
        <v>22595.19921875</v>
      </c>
      <c r="E114">
        <v>22620.44921875</v>
      </c>
      <c r="F114">
        <v>379000</v>
      </c>
      <c r="G114">
        <v>23101.230051896538</v>
      </c>
      <c r="H114">
        <v>23421.474004574418</v>
      </c>
      <c r="I114">
        <v>25.25669549049347</v>
      </c>
      <c r="J114">
        <v>-3.4613694439109777</v>
      </c>
      <c r="K114">
        <v>-320.24395267787986</v>
      </c>
      <c r="L114">
        <v>-262.44625138597507</v>
      </c>
      <c r="M114">
        <v>24091.685456819654</v>
      </c>
      <c r="N114">
        <v>23343.552343750001</v>
      </c>
      <c r="O114">
        <v>22595.419230680349</v>
      </c>
      <c r="P114">
        <v>4.9647055230416246</v>
      </c>
      <c r="Q114">
        <v>7.0327595809203345</v>
      </c>
      <c r="R114">
        <v>-95.03529447695837</v>
      </c>
    </row>
    <row r="115" spans="1:18" x14ac:dyDescent="0.3">
      <c r="A115" s="21">
        <v>46296</v>
      </c>
      <c r="B115">
        <v>22543.69921875</v>
      </c>
      <c r="C115">
        <v>22610.599609375</v>
      </c>
      <c r="D115">
        <v>22217.30078125</v>
      </c>
      <c r="E115">
        <v>22421.94921875</v>
      </c>
      <c r="F115">
        <v>463600</v>
      </c>
      <c r="G115">
        <v>22996.725307673452</v>
      </c>
      <c r="H115">
        <v>23347.422753620183</v>
      </c>
      <c r="I115">
        <v>22.548408423595077</v>
      </c>
      <c r="J115">
        <v>-4.4972336733653195</v>
      </c>
      <c r="K115">
        <v>-350.69744594673102</v>
      </c>
      <c r="L115">
        <v>-280.09649029832394</v>
      </c>
      <c r="M115">
        <v>24072.948978869183</v>
      </c>
      <c r="N115">
        <v>23268.927343750001</v>
      </c>
      <c r="O115">
        <v>22464.90570863082</v>
      </c>
      <c r="P115">
        <v>14.877584373282824</v>
      </c>
      <c r="Q115">
        <v>11.388299786277633</v>
      </c>
      <c r="R115">
        <v>-85.122415626717171</v>
      </c>
    </row>
    <row r="116" spans="1:18" x14ac:dyDescent="0.3">
      <c r="A116" s="21">
        <v>46300</v>
      </c>
      <c r="B116">
        <v>22532.400390625</v>
      </c>
      <c r="C116">
        <v>22621.80078125</v>
      </c>
      <c r="D116">
        <v>22397.099609375</v>
      </c>
      <c r="E116">
        <v>22555.75</v>
      </c>
      <c r="F116">
        <v>436700</v>
      </c>
      <c r="G116">
        <v>22928.882952283078</v>
      </c>
      <c r="H116">
        <v>23288.771249826423</v>
      </c>
      <c r="I116">
        <v>28.141825085566083</v>
      </c>
      <c r="J116">
        <v>-3.6000770294929985</v>
      </c>
      <c r="K116">
        <v>-359.88829754334438</v>
      </c>
      <c r="L116">
        <v>-296.05485174747099</v>
      </c>
      <c r="M116">
        <v>24014.408990326119</v>
      </c>
      <c r="N116">
        <v>23203.042382812499</v>
      </c>
      <c r="O116">
        <v>22391.675775298878</v>
      </c>
      <c r="P116">
        <v>24.604667739155254</v>
      </c>
      <c r="Q116">
        <v>14.815652545159901</v>
      </c>
      <c r="R116">
        <v>-75.395332260844754</v>
      </c>
    </row>
    <row r="117" spans="1:18" x14ac:dyDescent="0.3">
      <c r="A117" s="21">
        <v>46301</v>
      </c>
      <c r="B117">
        <v>22603.25</v>
      </c>
      <c r="C117">
        <v>22776.099609375</v>
      </c>
      <c r="D117">
        <v>22561.599609375</v>
      </c>
      <c r="E117">
        <v>22776.099609375</v>
      </c>
      <c r="F117">
        <v>328800</v>
      </c>
      <c r="G117">
        <v>22905.377822498293</v>
      </c>
      <c r="H117">
        <v>23250.790129786623</v>
      </c>
      <c r="I117">
        <v>36.300525625754403</v>
      </c>
      <c r="J117">
        <v>-1.4814911187834623</v>
      </c>
      <c r="K117">
        <v>-345.41230728833034</v>
      </c>
      <c r="L117">
        <v>-305.92634285571359</v>
      </c>
      <c r="M117">
        <v>23909.759560161725</v>
      </c>
      <c r="N117">
        <v>23146.96240234375</v>
      </c>
      <c r="O117">
        <v>22384.165244525775</v>
      </c>
      <c r="P117">
        <v>43.941115940470887</v>
      </c>
      <c r="Q117">
        <v>27.807789350969653</v>
      </c>
      <c r="R117">
        <v>-56.058884059529113</v>
      </c>
    </row>
    <row r="118" spans="1:18" x14ac:dyDescent="0.3">
      <c r="A118" s="21">
        <v>46302</v>
      </c>
      <c r="B118">
        <v>22690.44921875</v>
      </c>
      <c r="C118">
        <v>22717.650390625</v>
      </c>
      <c r="D118">
        <v>22546.30078125</v>
      </c>
      <c r="E118">
        <v>22603.05078125</v>
      </c>
      <c r="F118">
        <v>359000</v>
      </c>
      <c r="G118">
        <v>22858.865969820032</v>
      </c>
      <c r="H118">
        <v>23202.803069808986</v>
      </c>
      <c r="I118">
        <v>33.120151670361196</v>
      </c>
      <c r="J118">
        <v>-2.6469094069347832</v>
      </c>
      <c r="K118">
        <v>-343.93709998895429</v>
      </c>
      <c r="L118">
        <v>-313.52849428240535</v>
      </c>
      <c r="M118">
        <v>23826.697992453894</v>
      </c>
      <c r="N118">
        <v>23088.157421874999</v>
      </c>
      <c r="O118">
        <v>22349.616851296105</v>
      </c>
      <c r="P118">
        <v>30.333430603123894</v>
      </c>
      <c r="Q118">
        <v>32.959738094250007</v>
      </c>
      <c r="R118">
        <v>-69.666569396876099</v>
      </c>
    </row>
    <row r="119" spans="1:18" x14ac:dyDescent="0.3">
      <c r="A119" s="21">
        <v>46303</v>
      </c>
      <c r="B119">
        <v>22599.05078125</v>
      </c>
      <c r="C119">
        <v>22599.05078125</v>
      </c>
      <c r="D119">
        <v>22179.900390625</v>
      </c>
      <c r="E119">
        <v>22231.80078125</v>
      </c>
      <c r="F119">
        <v>357500</v>
      </c>
      <c r="G119">
        <v>22762.39440203441</v>
      </c>
      <c r="H119">
        <v>23130.868136228757</v>
      </c>
      <c r="I119">
        <v>27.544638620315027</v>
      </c>
      <c r="J119">
        <v>-4.4639968267362606</v>
      </c>
      <c r="K119">
        <v>-368.47373419434734</v>
      </c>
      <c r="L119">
        <v>-324.51754226484417</v>
      </c>
      <c r="M119">
        <v>23802.928131573408</v>
      </c>
      <c r="N119">
        <v>23017.992480468751</v>
      </c>
      <c r="O119">
        <v>22233.056829364094</v>
      </c>
      <c r="P119">
        <v>3.9645868238994177</v>
      </c>
      <c r="Q119">
        <v>26.079711122498068</v>
      </c>
      <c r="R119">
        <v>-96.035413176100576</v>
      </c>
    </row>
    <row r="120" spans="1:18" x14ac:dyDescent="0.3">
      <c r="A120" s="21">
        <v>46304</v>
      </c>
      <c r="B120">
        <v>22314.94921875</v>
      </c>
      <c r="C120">
        <v>22580.75</v>
      </c>
      <c r="D120">
        <v>22294.75</v>
      </c>
      <c r="E120">
        <v>22520.44921875</v>
      </c>
      <c r="F120">
        <v>296200</v>
      </c>
      <c r="G120">
        <v>22725.172066042214</v>
      </c>
      <c r="H120">
        <v>23085.646775651134</v>
      </c>
      <c r="I120">
        <v>36.495854446599076</v>
      </c>
      <c r="J120">
        <v>-3.5378095040581536</v>
      </c>
      <c r="K120">
        <v>-360.47470960891951</v>
      </c>
      <c r="L120">
        <v>-331.70897573368569</v>
      </c>
      <c r="M120">
        <v>23762.063307995628</v>
      </c>
      <c r="N120">
        <v>22972.43994140625</v>
      </c>
      <c r="O120">
        <v>22182.816574816872</v>
      </c>
      <c r="P120">
        <v>26.013973702702987</v>
      </c>
      <c r="Q120">
        <v>20.103997043242099</v>
      </c>
      <c r="R120">
        <v>-73.986026297297016</v>
      </c>
    </row>
    <row r="121" spans="1:18" x14ac:dyDescent="0.3">
      <c r="A121" s="21">
        <v>46307</v>
      </c>
      <c r="B121">
        <v>22593.19921875</v>
      </c>
      <c r="C121">
        <v>22651.099609375</v>
      </c>
      <c r="D121">
        <v>22304.44921875</v>
      </c>
      <c r="E121">
        <v>22363.349609375</v>
      </c>
      <c r="F121">
        <v>258800</v>
      </c>
      <c r="G121">
        <v>22669.507072579363</v>
      </c>
      <c r="H121">
        <v>23032.137645463514</v>
      </c>
      <c r="I121">
        <v>34.031605827927422</v>
      </c>
      <c r="J121">
        <v>-4.4885012014392212</v>
      </c>
      <c r="K121">
        <v>-362.63057288415075</v>
      </c>
      <c r="L121">
        <v>-337.89329516379689</v>
      </c>
      <c r="M121">
        <v>23713.440992479707</v>
      </c>
      <c r="N121">
        <v>22916.717382812501</v>
      </c>
      <c r="O121">
        <v>22119.993773145296</v>
      </c>
      <c r="P121">
        <v>14.013388854159361</v>
      </c>
      <c r="Q121">
        <v>14.663983126920586</v>
      </c>
      <c r="R121">
        <v>-85.986611145840641</v>
      </c>
    </row>
    <row r="122" spans="1:18" x14ac:dyDescent="0.3">
      <c r="A122" s="21">
        <v>46308</v>
      </c>
      <c r="B122">
        <v>22364.150390625</v>
      </c>
      <c r="C122">
        <v>22721.94921875</v>
      </c>
      <c r="D122">
        <v>22288.44921875</v>
      </c>
      <c r="E122">
        <v>22721.94921875</v>
      </c>
      <c r="F122">
        <v>308900</v>
      </c>
      <c r="G122">
        <v>22677.57509508303</v>
      </c>
      <c r="H122">
        <v>23009.158483751202</v>
      </c>
      <c r="I122">
        <v>43.422447760776727</v>
      </c>
      <c r="J122">
        <v>-2.6021294579707699</v>
      </c>
      <c r="K122">
        <v>-331.58338866817212</v>
      </c>
      <c r="L122">
        <v>-336.63131386466893</v>
      </c>
      <c r="M122">
        <v>23650.475700759198</v>
      </c>
      <c r="N122">
        <v>22882.909863281249</v>
      </c>
      <c r="O122">
        <v>22115.344025803301</v>
      </c>
      <c r="P122">
        <v>42.117236062548564</v>
      </c>
      <c r="Q122">
        <v>27.381532873136972</v>
      </c>
      <c r="R122">
        <v>-57.882763937451443</v>
      </c>
    </row>
    <row r="123" spans="1:18" x14ac:dyDescent="0.3">
      <c r="A123" s="21">
        <v>46309</v>
      </c>
      <c r="B123">
        <v>22715.75</v>
      </c>
      <c r="C123">
        <v>22757.94921875</v>
      </c>
      <c r="D123">
        <v>22558.94921875</v>
      </c>
      <c r="E123">
        <v>22622.69921875</v>
      </c>
      <c r="F123">
        <v>333200</v>
      </c>
      <c r="G123">
        <v>22669.1326525562</v>
      </c>
      <c r="H123">
        <v>22980.529286087105</v>
      </c>
      <c r="I123">
        <v>41.65502124944738</v>
      </c>
      <c r="J123">
        <v>-3.5147718880224388</v>
      </c>
      <c r="K123">
        <v>-311.39663353090509</v>
      </c>
      <c r="L123">
        <v>-331.58437779790665</v>
      </c>
      <c r="M123">
        <v>23625.66203878005</v>
      </c>
      <c r="N123">
        <v>22858.114843750001</v>
      </c>
      <c r="O123">
        <v>22090.567648719953</v>
      </c>
      <c r="P123">
        <v>40.179601558886233</v>
      </c>
      <c r="Q123">
        <v>32.103408825198052</v>
      </c>
      <c r="R123">
        <v>-59.820398441113767</v>
      </c>
    </row>
    <row r="124" spans="1:18" x14ac:dyDescent="0.3">
      <c r="A124" s="21">
        <v>46310</v>
      </c>
      <c r="B124">
        <v>22671.30078125</v>
      </c>
      <c r="C124">
        <v>23056.400390625</v>
      </c>
      <c r="D124">
        <v>22637.400390625</v>
      </c>
      <c r="E124">
        <v>22997.349609375</v>
      </c>
      <c r="F124">
        <v>370800</v>
      </c>
      <c r="G124">
        <v>22719.627569060991</v>
      </c>
      <c r="H124">
        <v>22981.775340153326</v>
      </c>
      <c r="I124">
        <v>49.938475733741143</v>
      </c>
      <c r="J124">
        <v>-0.28508743886824783</v>
      </c>
      <c r="K124">
        <v>-262.14777109233546</v>
      </c>
      <c r="L124">
        <v>-317.69705645677152</v>
      </c>
      <c r="M124">
        <v>23599.095180916342</v>
      </c>
      <c r="N124">
        <v>22847.102343750001</v>
      </c>
      <c r="O124">
        <v>22095.10950658366</v>
      </c>
      <c r="P124">
        <v>83.175640360656843</v>
      </c>
      <c r="Q124">
        <v>55.157492660697216</v>
      </c>
      <c r="R124">
        <v>-16.824359639343154</v>
      </c>
    </row>
    <row r="125" spans="1:18" x14ac:dyDescent="0.3">
      <c r="A125" s="21">
        <v>46311</v>
      </c>
      <c r="B125">
        <v>23065.099609375</v>
      </c>
      <c r="C125">
        <v>23149.849609375</v>
      </c>
      <c r="D125">
        <v>22913.80078125</v>
      </c>
      <c r="E125">
        <v>23146.150390625</v>
      </c>
      <c r="F125">
        <v>391600</v>
      </c>
      <c r="G125">
        <v>22785.246464764437</v>
      </c>
      <c r="H125">
        <v>22993.952212605429</v>
      </c>
      <c r="I125">
        <v>52.804452950756165</v>
      </c>
      <c r="J125">
        <v>2.4417755126293628E-2</v>
      </c>
      <c r="K125">
        <v>-208.70574784099153</v>
      </c>
      <c r="L125">
        <v>-295.89879473358934</v>
      </c>
      <c r="M125">
        <v>23580.068377953314</v>
      </c>
      <c r="N125">
        <v>22840.8798828125</v>
      </c>
      <c r="O125">
        <v>22101.691387671686</v>
      </c>
      <c r="P125">
        <v>99.618617276194385</v>
      </c>
      <c r="Q125">
        <v>74.324619731912492</v>
      </c>
      <c r="R125">
        <v>-0.38138272380561161</v>
      </c>
    </row>
    <row r="126" spans="1:18" x14ac:dyDescent="0.3">
      <c r="A126" s="21">
        <v>46314</v>
      </c>
      <c r="B126">
        <v>23150.849609375</v>
      </c>
      <c r="C126">
        <v>23175.25</v>
      </c>
      <c r="D126">
        <v>22845</v>
      </c>
      <c r="E126">
        <v>22888.94921875</v>
      </c>
      <c r="F126">
        <v>285800</v>
      </c>
      <c r="G126">
        <v>22801.200734624461</v>
      </c>
      <c r="H126">
        <v>22986.173655421288</v>
      </c>
      <c r="I126">
        <v>47.719182290736192</v>
      </c>
      <c r="J126">
        <v>0.47716429253410464</v>
      </c>
      <c r="K126">
        <v>-184.97292079682666</v>
      </c>
      <c r="L126">
        <v>-273.71361994621543</v>
      </c>
      <c r="M126">
        <v>23518.637844372457</v>
      </c>
      <c r="N126">
        <v>22818.00732421875</v>
      </c>
      <c r="O126">
        <v>22117.376804065043</v>
      </c>
      <c r="P126">
        <v>71.236158777439613</v>
      </c>
      <c r="Q126">
        <v>84.676805471430271</v>
      </c>
      <c r="R126">
        <v>-28.763841222560384</v>
      </c>
    </row>
    <row r="127" spans="1:18" x14ac:dyDescent="0.3">
      <c r="A127" s="21">
        <v>46316</v>
      </c>
      <c r="B127">
        <v>23016</v>
      </c>
      <c r="C127">
        <v>23120.900390625</v>
      </c>
      <c r="D127">
        <v>22649.900390625</v>
      </c>
      <c r="E127">
        <v>22811.349609375</v>
      </c>
      <c r="F127">
        <v>0</v>
      </c>
      <c r="G127">
        <v>22802.762099972031</v>
      </c>
      <c r="H127">
        <v>22973.222866424381</v>
      </c>
      <c r="I127">
        <v>46.271321834783393</v>
      </c>
      <c r="J127">
        <v>0.41886580456849121</v>
      </c>
      <c r="K127">
        <v>-170.46076645235007</v>
      </c>
      <c r="L127">
        <v>-253.06304924742645</v>
      </c>
      <c r="M127">
        <v>23429.895308155974</v>
      </c>
      <c r="N127">
        <v>22787.859765624999</v>
      </c>
      <c r="O127">
        <v>22145.824223094023</v>
      </c>
      <c r="P127">
        <v>63.43994238833325</v>
      </c>
      <c r="Q127">
        <v>78.098239480655749</v>
      </c>
      <c r="R127">
        <v>-36.560057611666757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52FBD-9A01-4622-A7FF-50D6866AC613}">
  <dimension ref="A1:R159"/>
  <sheetViews>
    <sheetView workbookViewId="0"/>
  </sheetViews>
  <sheetFormatPr defaultRowHeight="14.4" x14ac:dyDescent="0.3"/>
  <cols>
    <col min="1" max="1" width="13.77734375" customWidth="1"/>
    <col min="2" max="26" width="12.77734375" customWidth="1"/>
  </cols>
  <sheetData>
    <row r="1" spans="1:18" x14ac:dyDescent="0.3">
      <c r="A1" s="6" t="s">
        <v>41</v>
      </c>
    </row>
    <row r="2" spans="1:18" x14ac:dyDescent="0.3">
      <c r="A2" t="s">
        <v>6</v>
      </c>
      <c r="B2" t="s">
        <v>7</v>
      </c>
      <c r="C2" t="s">
        <v>0</v>
      </c>
      <c r="D2" t="s">
        <v>8</v>
      </c>
      <c r="E2" t="s">
        <v>9</v>
      </c>
      <c r="F2" t="s">
        <v>10</v>
      </c>
      <c r="G2" t="s">
        <v>1</v>
      </c>
      <c r="H2" t="s">
        <v>2</v>
      </c>
      <c r="I2" t="s">
        <v>3</v>
      </c>
      <c r="J2" t="s">
        <v>11</v>
      </c>
      <c r="K2" t="s">
        <v>4</v>
      </c>
      <c r="L2" t="s">
        <v>5</v>
      </c>
      <c r="M2" t="s">
        <v>35</v>
      </c>
      <c r="N2" t="s">
        <v>36</v>
      </c>
      <c r="O2" t="s">
        <v>37</v>
      </c>
      <c r="P2" t="s">
        <v>38</v>
      </c>
      <c r="Q2" t="s">
        <v>39</v>
      </c>
      <c r="R2" t="s">
        <v>40</v>
      </c>
    </row>
    <row r="3" spans="1:18" x14ac:dyDescent="0.3">
      <c r="A3" s="21">
        <v>45226</v>
      </c>
      <c r="B3">
        <v>19521.599609375</v>
      </c>
      <c r="C3">
        <v>19556.849609375</v>
      </c>
      <c r="D3">
        <v>18837.849609375</v>
      </c>
      <c r="E3">
        <v>19047.25</v>
      </c>
      <c r="F3">
        <v>906900</v>
      </c>
      <c r="G3">
        <v>19047.25</v>
      </c>
      <c r="H3">
        <v>19047.25</v>
      </c>
      <c r="K3">
        <v>0</v>
      </c>
      <c r="L3">
        <v>0</v>
      </c>
    </row>
    <row r="4" spans="1:18" x14ac:dyDescent="0.3">
      <c r="A4" s="21">
        <v>45233</v>
      </c>
      <c r="B4">
        <v>19053.400390625</v>
      </c>
      <c r="C4">
        <v>19276.25</v>
      </c>
      <c r="D4">
        <v>18940</v>
      </c>
      <c r="E4">
        <v>19230.599609375</v>
      </c>
      <c r="F4">
        <v>1015300</v>
      </c>
      <c r="G4">
        <v>19146.564371744789</v>
      </c>
      <c r="H4">
        <v>19142.450758713941</v>
      </c>
      <c r="I4">
        <v>100</v>
      </c>
      <c r="K4">
        <v>4.1136130308477732</v>
      </c>
      <c r="L4">
        <v>2.2853405726932072</v>
      </c>
    </row>
    <row r="5" spans="1:18" x14ac:dyDescent="0.3">
      <c r="A5" s="21">
        <v>45240</v>
      </c>
      <c r="B5">
        <v>19345.849609375</v>
      </c>
      <c r="C5">
        <v>19464.400390625</v>
      </c>
      <c r="D5">
        <v>19309.69921875</v>
      </c>
      <c r="E5">
        <v>19425.349609375</v>
      </c>
      <c r="F5">
        <v>935000</v>
      </c>
      <c r="G5">
        <v>19255.374314376444</v>
      </c>
      <c r="H5">
        <v>19244.093569030309</v>
      </c>
      <c r="I5">
        <v>100</v>
      </c>
      <c r="K5">
        <v>11.280745346135518</v>
      </c>
      <c r="L5">
        <v>5.9719818732843173</v>
      </c>
    </row>
    <row r="6" spans="1:18" x14ac:dyDescent="0.3">
      <c r="A6" s="21">
        <v>45247</v>
      </c>
      <c r="B6">
        <v>19486.75</v>
      </c>
      <c r="C6">
        <v>19875.25</v>
      </c>
      <c r="D6">
        <v>19414.75</v>
      </c>
      <c r="E6">
        <v>19731.80078125</v>
      </c>
      <c r="F6">
        <v>1000300</v>
      </c>
      <c r="G6">
        <v>19405.763531003053</v>
      </c>
      <c r="H6">
        <v>19380.435192966794</v>
      </c>
      <c r="I6">
        <v>100</v>
      </c>
      <c r="K6">
        <v>25.328338036259083</v>
      </c>
      <c r="L6">
        <v>12.529013093804226</v>
      </c>
    </row>
    <row r="7" spans="1:18" x14ac:dyDescent="0.3">
      <c r="A7" s="21">
        <v>45254</v>
      </c>
      <c r="B7">
        <v>19731.150390625</v>
      </c>
      <c r="C7">
        <v>19875.150390625</v>
      </c>
      <c r="D7">
        <v>19670.5</v>
      </c>
      <c r="E7">
        <v>19794.69921875</v>
      </c>
      <c r="F7">
        <v>869200</v>
      </c>
      <c r="G7">
        <v>19511.435967316829</v>
      </c>
      <c r="H7">
        <v>19476.504729218879</v>
      </c>
      <c r="I7">
        <v>100</v>
      </c>
      <c r="K7">
        <v>34.931238097949972</v>
      </c>
      <c r="L7">
        <v>19.193168556722405</v>
      </c>
    </row>
    <row r="8" spans="1:18" x14ac:dyDescent="0.3">
      <c r="A8" s="21">
        <v>45261</v>
      </c>
      <c r="B8">
        <v>19844.650390625</v>
      </c>
      <c r="C8">
        <v>20291.55078125</v>
      </c>
      <c r="D8">
        <v>19800</v>
      </c>
      <c r="E8">
        <v>20267.900390625</v>
      </c>
      <c r="F8">
        <v>1218200</v>
      </c>
      <c r="G8">
        <v>19695.29661962614</v>
      </c>
      <c r="H8">
        <v>19635.014968253163</v>
      </c>
      <c r="I8">
        <v>100</v>
      </c>
      <c r="K8">
        <v>60.281651372977649</v>
      </c>
      <c r="L8">
        <v>30.330431875379496</v>
      </c>
    </row>
    <row r="9" spans="1:18" x14ac:dyDescent="0.3">
      <c r="A9" s="21">
        <v>45268</v>
      </c>
      <c r="B9">
        <v>20601.94921875</v>
      </c>
      <c r="C9">
        <v>21006.099609375</v>
      </c>
      <c r="D9">
        <v>20507.75</v>
      </c>
      <c r="E9">
        <v>20969.400390625</v>
      </c>
      <c r="F9">
        <v>1728700</v>
      </c>
      <c r="G9">
        <v>19979.608418375596</v>
      </c>
      <c r="H9">
        <v>19872.328498351333</v>
      </c>
      <c r="I9">
        <v>100</v>
      </c>
      <c r="K9">
        <v>107.27992002426254</v>
      </c>
      <c r="L9">
        <v>49.804294500317503</v>
      </c>
    </row>
    <row r="10" spans="1:18" x14ac:dyDescent="0.3">
      <c r="A10" s="21">
        <v>45275</v>
      </c>
      <c r="B10">
        <v>20965.30078125</v>
      </c>
      <c r="C10">
        <v>21492.30078125</v>
      </c>
      <c r="D10">
        <v>20769.5</v>
      </c>
      <c r="E10">
        <v>21456.650390625</v>
      </c>
      <c r="F10">
        <v>1561300</v>
      </c>
      <c r="G10">
        <v>20287.844312179353</v>
      </c>
      <c r="H10">
        <v>20127.602012040577</v>
      </c>
      <c r="I10">
        <v>100</v>
      </c>
      <c r="K10">
        <v>160.24230013877605</v>
      </c>
      <c r="L10">
        <v>76.344624042395438</v>
      </c>
    </row>
    <row r="11" spans="1:18" x14ac:dyDescent="0.3">
      <c r="A11" s="21">
        <v>45282</v>
      </c>
      <c r="B11">
        <v>21434.80078125</v>
      </c>
      <c r="C11">
        <v>21593</v>
      </c>
      <c r="D11">
        <v>20976.80078125</v>
      </c>
      <c r="E11">
        <v>21349.400390625</v>
      </c>
      <c r="F11">
        <v>1425600</v>
      </c>
      <c r="G11">
        <v>20497.857888433904</v>
      </c>
      <c r="H11">
        <v>20308.699353809658</v>
      </c>
      <c r="I11">
        <v>94.731652849403659</v>
      </c>
      <c r="K11">
        <v>189.15853462424639</v>
      </c>
      <c r="L11">
        <v>102.40519705949943</v>
      </c>
    </row>
    <row r="12" spans="1:18" x14ac:dyDescent="0.3">
      <c r="A12" s="21">
        <v>45289</v>
      </c>
      <c r="B12">
        <v>21365.19921875</v>
      </c>
      <c r="C12">
        <v>21801.44921875</v>
      </c>
      <c r="D12">
        <v>21329.44921875</v>
      </c>
      <c r="E12">
        <v>21731.400390625</v>
      </c>
      <c r="F12">
        <v>1140000</v>
      </c>
      <c r="G12">
        <v>20731.61371318973</v>
      </c>
      <c r="H12">
        <v>20505.018250185018</v>
      </c>
      <c r="I12">
        <v>95.617310423098147</v>
      </c>
      <c r="K12">
        <v>226.59546300471266</v>
      </c>
      <c r="L12">
        <v>130.23102586627161</v>
      </c>
    </row>
    <row r="13" spans="1:18" x14ac:dyDescent="0.3">
      <c r="A13" s="21">
        <v>45296</v>
      </c>
      <c r="B13">
        <v>21727.75</v>
      </c>
      <c r="C13">
        <v>21834.349609375</v>
      </c>
      <c r="D13">
        <v>21500.349609375</v>
      </c>
      <c r="E13">
        <v>21710.80078125</v>
      </c>
      <c r="F13">
        <v>1378100</v>
      </c>
      <c r="G13">
        <v>20910.781336776945</v>
      </c>
      <c r="H13">
        <v>20661.408626456599</v>
      </c>
      <c r="I13">
        <v>94.692848679685696</v>
      </c>
      <c r="K13">
        <v>249.3727103203455</v>
      </c>
      <c r="L13">
        <v>156.29854565685406</v>
      </c>
    </row>
    <row r="14" spans="1:18" x14ac:dyDescent="0.3">
      <c r="A14" s="21">
        <v>45303</v>
      </c>
      <c r="B14">
        <v>21747.599609375</v>
      </c>
      <c r="C14">
        <v>21928.25</v>
      </c>
      <c r="D14">
        <v>21448.650390625</v>
      </c>
      <c r="E14">
        <v>21894.55078125</v>
      </c>
      <c r="F14">
        <v>1184300</v>
      </c>
      <c r="G14">
        <v>21085.692314427317</v>
      </c>
      <c r="H14">
        <v>20812.919570068254</v>
      </c>
      <c r="I14">
        <v>95.143868763451493</v>
      </c>
      <c r="K14">
        <v>272.77274435906293</v>
      </c>
      <c r="L14">
        <v>181.3123187988036</v>
      </c>
    </row>
    <row r="15" spans="1:18" x14ac:dyDescent="0.3">
      <c r="A15" s="21">
        <v>45310</v>
      </c>
      <c r="B15">
        <v>22053.150390625</v>
      </c>
      <c r="C15">
        <v>22124.150390625</v>
      </c>
      <c r="D15">
        <v>21285.55078125</v>
      </c>
      <c r="E15">
        <v>21622.400390625</v>
      </c>
      <c r="F15">
        <v>1824300</v>
      </c>
      <c r="G15">
        <v>21178.885225717586</v>
      </c>
      <c r="H15">
        <v>20907.75010218754</v>
      </c>
      <c r="I15">
        <v>83.786568393226474</v>
      </c>
      <c r="K15">
        <v>271.13512353004626</v>
      </c>
      <c r="L15">
        <v>200.32194499729812</v>
      </c>
    </row>
    <row r="16" spans="1:18" x14ac:dyDescent="0.3">
      <c r="A16" s="21">
        <v>45317</v>
      </c>
      <c r="B16">
        <v>21716.69921875</v>
      </c>
      <c r="C16">
        <v>21750.25</v>
      </c>
      <c r="D16">
        <v>21137.19921875</v>
      </c>
      <c r="E16">
        <v>21352.599609375</v>
      </c>
      <c r="F16">
        <v>1275300</v>
      </c>
      <c r="G16">
        <v>21208.463238865454</v>
      </c>
      <c r="H16">
        <v>20957.711995894813</v>
      </c>
      <c r="I16">
        <v>74.31562262081269</v>
      </c>
      <c r="K16">
        <v>250.75124297064031</v>
      </c>
      <c r="L16">
        <v>210.87179175941463</v>
      </c>
      <c r="P16">
        <v>76.522210454621629</v>
      </c>
      <c r="R16">
        <v>-23.477789545378364</v>
      </c>
    </row>
    <row r="17" spans="1:18" x14ac:dyDescent="0.3">
      <c r="A17" s="21">
        <v>45324</v>
      </c>
      <c r="B17">
        <v>21433.099609375</v>
      </c>
      <c r="C17">
        <v>22126.80078125</v>
      </c>
      <c r="D17">
        <v>21429.599609375</v>
      </c>
      <c r="E17">
        <v>21853.80078125</v>
      </c>
      <c r="F17">
        <v>1937700</v>
      </c>
      <c r="G17">
        <v>21316.568325008047</v>
      </c>
      <c r="H17">
        <v>21054.64685239048</v>
      </c>
      <c r="I17">
        <v>79.05261173911471</v>
      </c>
      <c r="J17">
        <v>14.734677085931036</v>
      </c>
      <c r="K17">
        <v>261.92147261756691</v>
      </c>
      <c r="L17">
        <v>221.45405833581228</v>
      </c>
      <c r="P17">
        <v>91.433414928029549</v>
      </c>
      <c r="R17">
        <v>-8.5665850719704455</v>
      </c>
    </row>
    <row r="18" spans="1:18" x14ac:dyDescent="0.3">
      <c r="A18" s="21">
        <v>45331</v>
      </c>
      <c r="B18">
        <v>21921.05078125</v>
      </c>
      <c r="C18">
        <v>22053.30078125</v>
      </c>
      <c r="D18">
        <v>21629.900390625</v>
      </c>
      <c r="E18">
        <v>21782.5</v>
      </c>
      <c r="F18">
        <v>1998400</v>
      </c>
      <c r="G18">
        <v>21393.567207964337</v>
      </c>
      <c r="H18">
        <v>21130.78627080132</v>
      </c>
      <c r="I18">
        <v>76.880333277433635</v>
      </c>
      <c r="J18">
        <v>13.269999076788741</v>
      </c>
      <c r="K18">
        <v>262.78093716301737</v>
      </c>
      <c r="L18">
        <v>229.95882191427091</v>
      </c>
      <c r="P18">
        <v>87.778190682466743</v>
      </c>
      <c r="Q18">
        <v>85.244605355039312</v>
      </c>
      <c r="R18">
        <v>-12.221809317533259</v>
      </c>
    </row>
    <row r="19" spans="1:18" x14ac:dyDescent="0.3">
      <c r="A19" s="21">
        <v>45338</v>
      </c>
      <c r="B19">
        <v>21800.80078125</v>
      </c>
      <c r="C19">
        <v>22068.650390625</v>
      </c>
      <c r="D19">
        <v>21530.19921875</v>
      </c>
      <c r="E19">
        <v>22040.69921875</v>
      </c>
      <c r="F19">
        <v>1701600</v>
      </c>
      <c r="G19">
        <v>21499.304232642953</v>
      </c>
      <c r="H19">
        <v>21223.150381168845</v>
      </c>
      <c r="I19">
        <v>79.118099034785374</v>
      </c>
      <c r="J19">
        <v>13.463590936416336</v>
      </c>
      <c r="K19">
        <v>276.1538514741078</v>
      </c>
      <c r="L19">
        <v>239.41066439766928</v>
      </c>
      <c r="P19">
        <v>96.825223071217152</v>
      </c>
      <c r="Q19">
        <v>92.012276227237805</v>
      </c>
      <c r="R19">
        <v>-3.1747769287828485</v>
      </c>
    </row>
    <row r="20" spans="1:18" x14ac:dyDescent="0.3">
      <c r="A20" s="21">
        <v>45345</v>
      </c>
      <c r="B20">
        <v>22103.44921875</v>
      </c>
      <c r="C20">
        <v>22297.5</v>
      </c>
      <c r="D20">
        <v>21875.25</v>
      </c>
      <c r="E20">
        <v>22212.69921875</v>
      </c>
      <c r="F20">
        <v>1229700</v>
      </c>
      <c r="G20">
        <v>21614.765855308207</v>
      </c>
      <c r="H20">
        <v>21320.91606169672</v>
      </c>
      <c r="I20">
        <v>80.473931618994541</v>
      </c>
      <c r="J20">
        <v>12.573096926142968</v>
      </c>
      <c r="K20">
        <v>293.84979361148726</v>
      </c>
      <c r="L20">
        <v>250.49822599351896</v>
      </c>
      <c r="P20">
        <v>96.771953511610192</v>
      </c>
      <c r="Q20">
        <v>93.791789088431358</v>
      </c>
      <c r="R20">
        <v>-3.2280464883897984</v>
      </c>
    </row>
    <row r="21" spans="1:18" x14ac:dyDescent="0.3">
      <c r="A21" s="21">
        <v>45352</v>
      </c>
      <c r="B21">
        <v>22169.19921875</v>
      </c>
      <c r="C21">
        <v>22353.30078125</v>
      </c>
      <c r="D21">
        <v>21860.650390625</v>
      </c>
      <c r="E21">
        <v>22338.75</v>
      </c>
      <c r="F21">
        <v>1374700</v>
      </c>
      <c r="G21">
        <v>21731.01112484069</v>
      </c>
      <c r="H21">
        <v>21419.049981296143</v>
      </c>
      <c r="I21">
        <v>81.425739602320121</v>
      </c>
      <c r="J21">
        <v>12.852182057104544</v>
      </c>
      <c r="K21">
        <v>311.96114354454767</v>
      </c>
      <c r="L21">
        <v>262.97055470350301</v>
      </c>
      <c r="P21">
        <v>99.430118795370575</v>
      </c>
      <c r="Q21">
        <v>97.675765126065969</v>
      </c>
      <c r="R21">
        <v>-0.56988120462942415</v>
      </c>
    </row>
    <row r="22" spans="1:18" x14ac:dyDescent="0.3">
      <c r="A22" s="21">
        <v>45359</v>
      </c>
      <c r="B22">
        <v>22403.5</v>
      </c>
      <c r="C22">
        <v>22525.650390625</v>
      </c>
      <c r="D22">
        <v>22224.349609375</v>
      </c>
      <c r="E22">
        <v>22493.55078125</v>
      </c>
      <c r="F22">
        <v>1287200</v>
      </c>
      <c r="G22">
        <v>21852.630063971767</v>
      </c>
      <c r="H22">
        <v>21520.38357375683</v>
      </c>
      <c r="I22">
        <v>82.550669831433424</v>
      </c>
      <c r="J22">
        <v>10.981159112339455</v>
      </c>
      <c r="K22">
        <v>332.24649021493678</v>
      </c>
      <c r="L22">
        <v>276.98734438832156</v>
      </c>
      <c r="M22">
        <v>23332.787636967583</v>
      </c>
      <c r="N22">
        <v>21115.340136718751</v>
      </c>
      <c r="O22">
        <v>18897.892636469918</v>
      </c>
      <c r="P22">
        <v>98.409256991864808</v>
      </c>
      <c r="Q22">
        <v>98.20377643294853</v>
      </c>
      <c r="R22">
        <v>-1.5907430081351963</v>
      </c>
    </row>
    <row r="23" spans="1:18" x14ac:dyDescent="0.3">
      <c r="A23" s="21">
        <v>45366</v>
      </c>
      <c r="B23">
        <v>22517.5</v>
      </c>
      <c r="C23">
        <v>22526.599609375</v>
      </c>
      <c r="D23">
        <v>21905.650390625</v>
      </c>
      <c r="E23">
        <v>22023.349609375</v>
      </c>
      <c r="F23">
        <v>2158600</v>
      </c>
      <c r="G23">
        <v>21879.705594691997</v>
      </c>
      <c r="H23">
        <v>21566.876380396887</v>
      </c>
      <c r="I23">
        <v>68.900667403123975</v>
      </c>
      <c r="J23">
        <v>5.0261294987776539</v>
      </c>
      <c r="K23">
        <v>312.82921429511043</v>
      </c>
      <c r="L23">
        <v>284.22245044456213</v>
      </c>
      <c r="M23">
        <v>23288.248540398199</v>
      </c>
      <c r="N23">
        <v>21264.145117187501</v>
      </c>
      <c r="O23">
        <v>19240.041693976804</v>
      </c>
      <c r="P23">
        <v>71.359051170752579</v>
      </c>
      <c r="Q23">
        <v>89.732808985995987</v>
      </c>
      <c r="R23">
        <v>-28.640948829247414</v>
      </c>
    </row>
    <row r="24" spans="1:18" x14ac:dyDescent="0.3">
      <c r="A24" s="21">
        <v>45373</v>
      </c>
      <c r="B24">
        <v>21990.099609375</v>
      </c>
      <c r="C24">
        <v>22180.69921875</v>
      </c>
      <c r="D24">
        <v>21710.19921875</v>
      </c>
      <c r="E24">
        <v>22096.75</v>
      </c>
      <c r="F24">
        <v>1754800</v>
      </c>
      <c r="G24">
        <v>21913.965340991297</v>
      </c>
      <c r="H24">
        <v>21614.973238636605</v>
      </c>
      <c r="I24">
        <v>69.741781344356554</v>
      </c>
      <c r="J24">
        <v>2.983222440230815</v>
      </c>
      <c r="K24">
        <v>298.99210235469218</v>
      </c>
      <c r="L24">
        <v>287.19833900848039</v>
      </c>
      <c r="M24">
        <v>23220.150964322209</v>
      </c>
      <c r="N24">
        <v>21407.45263671875</v>
      </c>
      <c r="O24">
        <v>19594.754309115291</v>
      </c>
      <c r="P24">
        <v>72.264167350349155</v>
      </c>
      <c r="Q24">
        <v>80.677491837655523</v>
      </c>
      <c r="R24">
        <v>-27.735832649650849</v>
      </c>
    </row>
    <row r="25" spans="1:18" x14ac:dyDescent="0.3">
      <c r="A25" s="21">
        <v>45380</v>
      </c>
      <c r="B25">
        <v>21947.900390625</v>
      </c>
      <c r="C25">
        <v>22516</v>
      </c>
      <c r="D25">
        <v>21947.55078125</v>
      </c>
      <c r="E25">
        <v>22326.900390625</v>
      </c>
      <c r="F25">
        <v>1148000</v>
      </c>
      <c r="G25">
        <v>21978.886062626665</v>
      </c>
      <c r="H25">
        <v>21678.533942592243</v>
      </c>
      <c r="I25">
        <v>72.273934850498136</v>
      </c>
      <c r="J25">
        <v>4.5785829209013418</v>
      </c>
      <c r="K25">
        <v>300.35212003442211</v>
      </c>
      <c r="L25">
        <v>289.84471667013173</v>
      </c>
      <c r="M25">
        <v>23148.81594640512</v>
      </c>
      <c r="N25">
        <v>21552.530175781249</v>
      </c>
      <c r="O25">
        <v>19956.244405157377</v>
      </c>
      <c r="P25">
        <v>85.626949574976834</v>
      </c>
      <c r="Q25">
        <v>76.416722698692851</v>
      </c>
      <c r="R25">
        <v>-14.373050425023159</v>
      </c>
    </row>
    <row r="26" spans="1:18" x14ac:dyDescent="0.3">
      <c r="A26" s="21">
        <v>45387</v>
      </c>
      <c r="B26">
        <v>22455</v>
      </c>
      <c r="C26">
        <v>22619</v>
      </c>
      <c r="D26">
        <v>22303.80078125</v>
      </c>
      <c r="E26">
        <v>22513.69921875</v>
      </c>
      <c r="F26">
        <v>1242300</v>
      </c>
      <c r="G26">
        <v>22062.685647785755</v>
      </c>
      <c r="H26">
        <v>21751.980512528844</v>
      </c>
      <c r="I26">
        <v>74.163765975805262</v>
      </c>
      <c r="J26">
        <v>3.5998546530047193</v>
      </c>
      <c r="K26">
        <v>310.70513525691058</v>
      </c>
      <c r="L26">
        <v>294.03659597783042</v>
      </c>
      <c r="M26">
        <v>23092.786397761145</v>
      </c>
      <c r="N26">
        <v>21691.625097656251</v>
      </c>
      <c r="O26">
        <v>20290.463797551358</v>
      </c>
      <c r="P26">
        <v>92.893728861367478</v>
      </c>
      <c r="Q26">
        <v>83.594948595564503</v>
      </c>
      <c r="R26">
        <v>-7.1062711386325237</v>
      </c>
    </row>
    <row r="27" spans="1:18" x14ac:dyDescent="0.3">
      <c r="A27" s="21">
        <v>45394</v>
      </c>
      <c r="B27">
        <v>22578.349609375</v>
      </c>
      <c r="C27">
        <v>22775.69921875</v>
      </c>
      <c r="D27">
        <v>22503.75</v>
      </c>
      <c r="E27">
        <v>22519.400390625</v>
      </c>
      <c r="F27">
        <v>1094000</v>
      </c>
      <c r="G27">
        <v>22134.045137716868</v>
      </c>
      <c r="H27">
        <v>21818.546213640195</v>
      </c>
      <c r="I27">
        <v>74.221517941239298</v>
      </c>
      <c r="J27">
        <v>3.7244117226358897</v>
      </c>
      <c r="K27">
        <v>315.49892407667357</v>
      </c>
      <c r="L27">
        <v>298.34533957065986</v>
      </c>
      <c r="M27">
        <v>22955.609290271968</v>
      </c>
      <c r="N27">
        <v>21827.860156250001</v>
      </c>
      <c r="O27">
        <v>20700.111022228033</v>
      </c>
      <c r="P27">
        <v>84.357715707964601</v>
      </c>
      <c r="Q27">
        <v>87.626131381436309</v>
      </c>
      <c r="R27">
        <v>-15.642284292035399</v>
      </c>
    </row>
    <row r="28" spans="1:18" x14ac:dyDescent="0.3">
      <c r="A28" s="21">
        <v>45401</v>
      </c>
      <c r="B28">
        <v>22339.05078125</v>
      </c>
      <c r="C28">
        <v>22427.44921875</v>
      </c>
      <c r="D28">
        <v>21777.650390625</v>
      </c>
      <c r="E28">
        <v>22147</v>
      </c>
      <c r="F28">
        <v>1492200</v>
      </c>
      <c r="G28">
        <v>22136.064428479571</v>
      </c>
      <c r="H28">
        <v>21846.679839591914</v>
      </c>
      <c r="I28">
        <v>64.136563860638944</v>
      </c>
      <c r="J28">
        <v>1.1530230570713229</v>
      </c>
      <c r="K28">
        <v>289.38458888765672</v>
      </c>
      <c r="L28">
        <v>296.54775657281175</v>
      </c>
      <c r="M28">
        <v>22784.242680160973</v>
      </c>
      <c r="N28">
        <v>21921.815136718749</v>
      </c>
      <c r="O28">
        <v>21059.387593276526</v>
      </c>
      <c r="P28">
        <v>61.629586893500154</v>
      </c>
      <c r="Q28">
        <v>79.627010487610747</v>
      </c>
      <c r="R28">
        <v>-38.370413106499846</v>
      </c>
    </row>
    <row r="29" spans="1:18" x14ac:dyDescent="0.3">
      <c r="A29" s="21">
        <v>45408</v>
      </c>
      <c r="B29">
        <v>22336.900390625</v>
      </c>
      <c r="C29">
        <v>22625.94921875</v>
      </c>
      <c r="D29">
        <v>22198.150390625</v>
      </c>
      <c r="E29">
        <v>22419.94921875</v>
      </c>
      <c r="F29">
        <v>1551600</v>
      </c>
      <c r="G29">
        <v>22180.224480667443</v>
      </c>
      <c r="H29">
        <v>21895.220944534598</v>
      </c>
      <c r="I29">
        <v>67.610376593029201</v>
      </c>
      <c r="J29">
        <v>3.6885304763424775</v>
      </c>
      <c r="K29">
        <v>285.0035361328446</v>
      </c>
      <c r="L29">
        <v>294.23331651212368</v>
      </c>
      <c r="M29">
        <v>22757.82492431494</v>
      </c>
      <c r="N29">
        <v>21994.342578125001</v>
      </c>
      <c r="O29">
        <v>21230.860231935061</v>
      </c>
      <c r="P29">
        <v>78.288068355202938</v>
      </c>
      <c r="Q29">
        <v>74.758456985555895</v>
      </c>
      <c r="R29">
        <v>-21.711931644797069</v>
      </c>
    </row>
    <row r="30" spans="1:18" x14ac:dyDescent="0.3">
      <c r="A30" s="21">
        <v>45415</v>
      </c>
      <c r="B30">
        <v>22475.55078125</v>
      </c>
      <c r="C30">
        <v>22794.69921875</v>
      </c>
      <c r="D30">
        <v>22348.05078125</v>
      </c>
      <c r="E30">
        <v>22475.849609375</v>
      </c>
      <c r="F30">
        <v>1537900</v>
      </c>
      <c r="G30">
        <v>22226.132309221957</v>
      </c>
      <c r="H30">
        <v>21943.869511688354</v>
      </c>
      <c r="I30">
        <v>68.287858568272128</v>
      </c>
      <c r="J30">
        <v>5.2604835970737174</v>
      </c>
      <c r="K30">
        <v>282.26279753360359</v>
      </c>
      <c r="L30">
        <v>291.83457287142465</v>
      </c>
      <c r="M30">
        <v>22793.577456420971</v>
      </c>
      <c r="N30">
        <v>22045.302539062501</v>
      </c>
      <c r="O30">
        <v>21297.02762170403</v>
      </c>
      <c r="P30">
        <v>76.64275872725635</v>
      </c>
      <c r="Q30">
        <v>72.186804658653145</v>
      </c>
      <c r="R30">
        <v>-23.357241272743661</v>
      </c>
    </row>
    <row r="31" spans="1:18" x14ac:dyDescent="0.3">
      <c r="A31" s="21">
        <v>45422</v>
      </c>
      <c r="B31">
        <v>22561.599609375</v>
      </c>
      <c r="C31">
        <v>22588.80078125</v>
      </c>
      <c r="D31">
        <v>21932.400390625</v>
      </c>
      <c r="E31">
        <v>22055.19921875</v>
      </c>
      <c r="F31">
        <v>1492600</v>
      </c>
      <c r="G31">
        <v>22199.626281387096</v>
      </c>
      <c r="H31">
        <v>21953.107664700208</v>
      </c>
      <c r="I31">
        <v>58.390385546236338</v>
      </c>
      <c r="J31">
        <v>0.92157167311963661</v>
      </c>
      <c r="K31">
        <v>246.51861668688798</v>
      </c>
      <c r="L31">
        <v>282.75733528970665</v>
      </c>
      <c r="M31">
        <v>22753.451027663508</v>
      </c>
      <c r="N31">
        <v>22080.592480468749</v>
      </c>
      <c r="O31">
        <v>21407.73393327399</v>
      </c>
      <c r="P31">
        <v>41.518386714116254</v>
      </c>
      <c r="Q31">
        <v>65.483071265525183</v>
      </c>
      <c r="R31">
        <v>-58.481613285883746</v>
      </c>
    </row>
    <row r="32" spans="1:18" x14ac:dyDescent="0.3">
      <c r="A32" s="21">
        <v>45429</v>
      </c>
      <c r="B32">
        <v>22027.94921875</v>
      </c>
      <c r="C32">
        <v>22502.150390625</v>
      </c>
      <c r="D32">
        <v>21821.05078125</v>
      </c>
      <c r="E32">
        <v>22466.099609375</v>
      </c>
      <c r="F32">
        <v>1351900</v>
      </c>
      <c r="G32">
        <v>22240.897044929021</v>
      </c>
      <c r="H32">
        <v>21995.300033027805</v>
      </c>
      <c r="I32">
        <v>63.895233348448173</v>
      </c>
      <c r="J32">
        <v>3.1382973000114722</v>
      </c>
      <c r="K32">
        <v>245.59701190121632</v>
      </c>
      <c r="L32">
        <v>275.31605875784641</v>
      </c>
      <c r="M32">
        <v>22790.137722049036</v>
      </c>
      <c r="N32">
        <v>22117.327441406251</v>
      </c>
      <c r="O32">
        <v>21444.517160763466</v>
      </c>
      <c r="P32">
        <v>74.013474940688013</v>
      </c>
      <c r="Q32">
        <v>64.058206794020208</v>
      </c>
      <c r="R32">
        <v>-25.986525059311983</v>
      </c>
    </row>
    <row r="33" spans="1:18" x14ac:dyDescent="0.3">
      <c r="A33" s="21">
        <v>45436</v>
      </c>
      <c r="B33">
        <v>22404.55078125</v>
      </c>
      <c r="C33">
        <v>23026.400390625</v>
      </c>
      <c r="D33">
        <v>22404.55078125</v>
      </c>
      <c r="E33">
        <v>22957.099609375</v>
      </c>
      <c r="F33">
        <v>1269600</v>
      </c>
      <c r="G33">
        <v>22351.706517115486</v>
      </c>
      <c r="H33">
        <v>22073.764429846047</v>
      </c>
      <c r="I33">
        <v>69.147756714878952</v>
      </c>
      <c r="J33">
        <v>4.1577646041529359</v>
      </c>
      <c r="K33">
        <v>277.94208726943907</v>
      </c>
      <c r="L33">
        <v>275.84178511433004</v>
      </c>
      <c r="M33">
        <v>22921.260851963987</v>
      </c>
      <c r="N33">
        <v>22179.642382812501</v>
      </c>
      <c r="O33">
        <v>21438.023913661014</v>
      </c>
      <c r="P33">
        <v>94.73478806045452</v>
      </c>
      <c r="Q33">
        <v>70.088883238419598</v>
      </c>
      <c r="R33">
        <v>-5.2652119395454786</v>
      </c>
    </row>
    <row r="34" spans="1:18" x14ac:dyDescent="0.3">
      <c r="A34" s="21">
        <v>45443</v>
      </c>
      <c r="B34">
        <v>23038.94921875</v>
      </c>
      <c r="C34">
        <v>23110.80078125</v>
      </c>
      <c r="D34">
        <v>22417</v>
      </c>
      <c r="E34">
        <v>22530.69921875</v>
      </c>
      <c r="F34">
        <v>1693300</v>
      </c>
      <c r="G34">
        <v>22379.375795831398</v>
      </c>
      <c r="H34">
        <v>22110.763799180575</v>
      </c>
      <c r="I34">
        <v>60.866393966215057</v>
      </c>
      <c r="J34">
        <v>1.4316134967135019</v>
      </c>
      <c r="K34">
        <v>268.61199665082313</v>
      </c>
      <c r="L34">
        <v>274.39468090755594</v>
      </c>
      <c r="M34">
        <v>22956.146100189246</v>
      </c>
      <c r="N34">
        <v>22211.449804687501</v>
      </c>
      <c r="O34">
        <v>21466.753509185757</v>
      </c>
      <c r="P34">
        <v>58.58197091651467</v>
      </c>
      <c r="Q34">
        <v>75.776744639219075</v>
      </c>
      <c r="R34">
        <v>-41.41802908348533</v>
      </c>
    </row>
    <row r="35" spans="1:18" x14ac:dyDescent="0.3">
      <c r="A35" s="21">
        <v>45450</v>
      </c>
      <c r="B35">
        <v>23337.900390625</v>
      </c>
      <c r="C35">
        <v>23338.69921875</v>
      </c>
      <c r="D35">
        <v>21281.44921875</v>
      </c>
      <c r="E35">
        <v>23290.150390625</v>
      </c>
      <c r="F35">
        <v>3168000</v>
      </c>
      <c r="G35">
        <v>22520.062615245817</v>
      </c>
      <c r="H35">
        <v>22205.607920198436</v>
      </c>
      <c r="I35">
        <v>68.176704295411326</v>
      </c>
      <c r="J35">
        <v>4.2589687902187867</v>
      </c>
      <c r="K35">
        <v>314.45469504738139</v>
      </c>
      <c r="L35">
        <v>282.41176516635738</v>
      </c>
      <c r="M35">
        <v>23129.830649546719</v>
      </c>
      <c r="N35">
        <v>22294.837304687499</v>
      </c>
      <c r="O35">
        <v>21459.843959828278</v>
      </c>
      <c r="P35">
        <v>97.640110432616353</v>
      </c>
      <c r="Q35">
        <v>83.652289803195188</v>
      </c>
      <c r="R35">
        <v>-2.3598895673836431</v>
      </c>
    </row>
    <row r="36" spans="1:18" x14ac:dyDescent="0.3">
      <c r="A36" s="21">
        <v>45457</v>
      </c>
      <c r="B36">
        <v>23319.150390625</v>
      </c>
      <c r="C36">
        <v>23490.400390625</v>
      </c>
      <c r="D36">
        <v>23206.650390625</v>
      </c>
      <c r="E36">
        <v>23465.599609375</v>
      </c>
      <c r="F36">
        <v>1396600</v>
      </c>
      <c r="G36">
        <v>22666.02818741032</v>
      </c>
      <c r="H36">
        <v>22306.295384572397</v>
      </c>
      <c r="I36">
        <v>69.590017388360764</v>
      </c>
      <c r="J36">
        <v>4.3214556811336013</v>
      </c>
      <c r="K36">
        <v>359.73280283792337</v>
      </c>
      <c r="L36">
        <v>297.88381796347659</v>
      </c>
      <c r="M36">
        <v>23267.593806725719</v>
      </c>
      <c r="N36">
        <v>22400.4873046875</v>
      </c>
      <c r="O36">
        <v>21533.380802649281</v>
      </c>
      <c r="P36">
        <v>98.877259870395932</v>
      </c>
      <c r="Q36">
        <v>85.033113739842321</v>
      </c>
      <c r="R36">
        <v>-1.12274012960407</v>
      </c>
    </row>
    <row r="37" spans="1:18" x14ac:dyDescent="0.3">
      <c r="A37" s="21">
        <v>45464</v>
      </c>
      <c r="B37">
        <v>23570.80078125</v>
      </c>
      <c r="C37">
        <v>23667.099609375</v>
      </c>
      <c r="D37">
        <v>23398.19921875</v>
      </c>
      <c r="E37">
        <v>23501.099609375</v>
      </c>
      <c r="F37">
        <v>1491200</v>
      </c>
      <c r="G37">
        <v>22794.872928417117</v>
      </c>
      <c r="H37">
        <v>22401.219554015875</v>
      </c>
      <c r="I37">
        <v>69.881483722786214</v>
      </c>
      <c r="J37">
        <v>6.7099239044497772</v>
      </c>
      <c r="K37">
        <v>393.65337440124131</v>
      </c>
      <c r="L37">
        <v>317.0455021535783</v>
      </c>
      <c r="M37">
        <v>23439.623310035247</v>
      </c>
      <c r="N37">
        <v>22482.852246093749</v>
      </c>
      <c r="O37">
        <v>21526.081182152251</v>
      </c>
      <c r="P37">
        <v>93.041729808678681</v>
      </c>
      <c r="Q37">
        <v>96.519700037230322</v>
      </c>
      <c r="R37">
        <v>-6.9582701913213194</v>
      </c>
    </row>
    <row r="38" spans="1:18" x14ac:dyDescent="0.3">
      <c r="A38" s="21">
        <v>45471</v>
      </c>
      <c r="B38">
        <v>23382.30078125</v>
      </c>
      <c r="C38">
        <v>24174</v>
      </c>
      <c r="D38">
        <v>23350</v>
      </c>
      <c r="E38">
        <v>24010.599609375</v>
      </c>
      <c r="F38">
        <v>1695300</v>
      </c>
      <c r="G38">
        <v>22982.366114667733</v>
      </c>
      <c r="H38">
        <v>22528.397346877395</v>
      </c>
      <c r="I38">
        <v>73.767560883683728</v>
      </c>
      <c r="J38">
        <v>8.6612266934051441</v>
      </c>
      <c r="K38">
        <v>453.96876779033846</v>
      </c>
      <c r="L38">
        <v>344.43904499383245</v>
      </c>
      <c r="M38">
        <v>23712.855877198213</v>
      </c>
      <c r="N38">
        <v>22594.257226562499</v>
      </c>
      <c r="O38">
        <v>21475.658575926784</v>
      </c>
      <c r="P38">
        <v>94.35099318967228</v>
      </c>
      <c r="Q38">
        <v>95.423327622915622</v>
      </c>
      <c r="R38">
        <v>-5.6490068103277142</v>
      </c>
    </row>
    <row r="39" spans="1:18" x14ac:dyDescent="0.3">
      <c r="A39" s="21">
        <v>45478</v>
      </c>
      <c r="B39">
        <v>23992.94921875</v>
      </c>
      <c r="C39">
        <v>24401</v>
      </c>
      <c r="D39">
        <v>23992.69921875</v>
      </c>
      <c r="E39">
        <v>24323.849609375</v>
      </c>
      <c r="F39">
        <v>549600</v>
      </c>
      <c r="G39">
        <v>23189.175947159081</v>
      </c>
      <c r="H39">
        <v>22669.580412334242</v>
      </c>
      <c r="I39">
        <v>75.832210458742622</v>
      </c>
      <c r="J39">
        <v>8.9441399558915613</v>
      </c>
      <c r="K39">
        <v>519.59553482483898</v>
      </c>
      <c r="L39">
        <v>379.47943996667078</v>
      </c>
      <c r="M39">
        <v>24035.693206393014</v>
      </c>
      <c r="N39">
        <v>22708.414746093749</v>
      </c>
      <c r="O39">
        <v>21381.136285794484</v>
      </c>
      <c r="P39">
        <v>97.526874988260786</v>
      </c>
      <c r="Q39">
        <v>94.973199328870578</v>
      </c>
      <c r="R39">
        <v>-2.4731250117392203</v>
      </c>
    </row>
    <row r="40" spans="1:18" x14ac:dyDescent="0.3">
      <c r="A40" s="21">
        <v>45485</v>
      </c>
      <c r="B40">
        <v>24329.44921875</v>
      </c>
      <c r="C40">
        <v>24592.19921875</v>
      </c>
      <c r="D40">
        <v>24141.80078125</v>
      </c>
      <c r="E40">
        <v>24502.150390625</v>
      </c>
      <c r="F40">
        <v>1441300</v>
      </c>
      <c r="G40">
        <v>23391.526158097462</v>
      </c>
      <c r="H40">
        <v>22813.028112621683</v>
      </c>
      <c r="I40">
        <v>76.944527411037413</v>
      </c>
      <c r="J40">
        <v>8.8321832523149624</v>
      </c>
      <c r="K40">
        <v>578.49804547577878</v>
      </c>
      <c r="L40">
        <v>419.29142969526038</v>
      </c>
      <c r="M40">
        <v>24350.01724939256</v>
      </c>
      <c r="N40">
        <v>22822.887304687501</v>
      </c>
      <c r="O40">
        <v>21295.757359982443</v>
      </c>
      <c r="P40">
        <v>97.280107887185679</v>
      </c>
      <c r="Q40">
        <v>96.385992021706258</v>
      </c>
      <c r="R40">
        <v>-2.7198921128143172</v>
      </c>
    </row>
    <row r="41" spans="1:18" x14ac:dyDescent="0.3">
      <c r="A41" s="21">
        <v>45492</v>
      </c>
      <c r="B41">
        <v>24587.599609375</v>
      </c>
      <c r="C41">
        <v>24854.80078125</v>
      </c>
      <c r="D41">
        <v>24504.44921875</v>
      </c>
      <c r="E41">
        <v>24530.900390625</v>
      </c>
      <c r="F41">
        <v>1283300</v>
      </c>
      <c r="G41">
        <v>23567.074470009647</v>
      </c>
      <c r="H41">
        <v>22946.934872368787</v>
      </c>
      <c r="I41">
        <v>77.127328093361029</v>
      </c>
      <c r="J41">
        <v>8.9322982189055331</v>
      </c>
      <c r="K41">
        <v>620.1395976408603</v>
      </c>
      <c r="L41">
        <v>459.46773871872057</v>
      </c>
      <c r="M41">
        <v>24619.612670429196</v>
      </c>
      <c r="N41">
        <v>22932.494824218749</v>
      </c>
      <c r="O41">
        <v>21245.376978008302</v>
      </c>
      <c r="P41">
        <v>90.935669637879357</v>
      </c>
      <c r="Q41">
        <v>95.247550837775279</v>
      </c>
      <c r="R41">
        <v>-9.0643303621206464</v>
      </c>
    </row>
    <row r="42" spans="1:18" x14ac:dyDescent="0.3">
      <c r="A42" s="21">
        <v>45499</v>
      </c>
      <c r="B42">
        <v>24445.75</v>
      </c>
      <c r="C42">
        <v>24861.150390625</v>
      </c>
      <c r="D42">
        <v>24074.19921875</v>
      </c>
      <c r="E42">
        <v>24834.849609375</v>
      </c>
      <c r="F42">
        <v>1902800</v>
      </c>
      <c r="G42">
        <v>23762.361506332021</v>
      </c>
      <c r="H42">
        <v>23093.528237873117</v>
      </c>
      <c r="I42">
        <v>79.021126767458014</v>
      </c>
      <c r="J42">
        <v>12.136404973021175</v>
      </c>
      <c r="K42">
        <v>668.83326845890406</v>
      </c>
      <c r="L42">
        <v>501.34641129715897</v>
      </c>
      <c r="M42">
        <v>24923.055756034297</v>
      </c>
      <c r="N42">
        <v>23049.559765624999</v>
      </c>
      <c r="O42">
        <v>21176.063775215702</v>
      </c>
      <c r="P42">
        <v>99.265279977651772</v>
      </c>
      <c r="Q42">
        <v>95.82701916757226</v>
      </c>
      <c r="R42">
        <v>-0.73472002234823419</v>
      </c>
    </row>
    <row r="43" spans="1:18" x14ac:dyDescent="0.3">
      <c r="A43" s="21">
        <v>45506</v>
      </c>
      <c r="B43">
        <v>24943.30078125</v>
      </c>
      <c r="C43">
        <v>25078.30078125</v>
      </c>
      <c r="D43">
        <v>24686.849609375</v>
      </c>
      <c r="E43">
        <v>24717.69921875</v>
      </c>
      <c r="F43">
        <v>1849900</v>
      </c>
      <c r="G43">
        <v>23909.492539850173</v>
      </c>
      <c r="H43">
        <v>23219.19319503173</v>
      </c>
      <c r="I43">
        <v>76.39562222944069</v>
      </c>
      <c r="J43">
        <v>10.24868512225876</v>
      </c>
      <c r="K43">
        <v>690.29934481844248</v>
      </c>
      <c r="L43">
        <v>539.14101701325626</v>
      </c>
      <c r="M43">
        <v>25133.044483053851</v>
      </c>
      <c r="N43">
        <v>23184.277246093749</v>
      </c>
      <c r="O43">
        <v>21235.510009133646</v>
      </c>
      <c r="P43">
        <v>90.50261627129386</v>
      </c>
      <c r="Q43">
        <v>93.567855295608339</v>
      </c>
      <c r="R43">
        <v>-9.4973837287061453</v>
      </c>
    </row>
    <row r="44" spans="1:18" x14ac:dyDescent="0.3">
      <c r="A44" s="21">
        <v>45513</v>
      </c>
      <c r="B44">
        <v>24302.849609375</v>
      </c>
      <c r="C44">
        <v>24419.75</v>
      </c>
      <c r="D44">
        <v>23893.69921875</v>
      </c>
      <c r="E44">
        <v>24367.5</v>
      </c>
      <c r="F44">
        <v>1643900</v>
      </c>
      <c r="G44">
        <v>23980.018499399612</v>
      </c>
      <c r="H44">
        <v>23307.74768202905</v>
      </c>
      <c r="I44">
        <v>69.013830261288561</v>
      </c>
      <c r="J44">
        <v>8.4163687847242272</v>
      </c>
      <c r="K44">
        <v>672.27081737056142</v>
      </c>
      <c r="L44">
        <v>565.76924236360458</v>
      </c>
      <c r="M44">
        <v>25244.392340881914</v>
      </c>
      <c r="N44">
        <v>23297.814746093751</v>
      </c>
      <c r="O44">
        <v>21351.237151305588</v>
      </c>
      <c r="P44">
        <v>81.279205427193986</v>
      </c>
      <c r="Q44">
        <v>90.349033892046535</v>
      </c>
      <c r="R44">
        <v>-18.720794572806003</v>
      </c>
    </row>
    <row r="45" spans="1:18" x14ac:dyDescent="0.3">
      <c r="A45" s="21">
        <v>45520</v>
      </c>
      <c r="B45">
        <v>24320.05078125</v>
      </c>
      <c r="C45">
        <v>24563.900390625</v>
      </c>
      <c r="D45">
        <v>24099.69921875</v>
      </c>
      <c r="E45">
        <v>24541.150390625</v>
      </c>
      <c r="F45">
        <v>1094500</v>
      </c>
      <c r="G45">
        <v>24066.412067393252</v>
      </c>
      <c r="H45">
        <v>23402.575950099068</v>
      </c>
      <c r="I45">
        <v>70.534225381560745</v>
      </c>
      <c r="J45">
        <v>11.271497242979311</v>
      </c>
      <c r="K45">
        <v>663.83611729418408</v>
      </c>
      <c r="L45">
        <v>585.38395225770239</v>
      </c>
      <c r="M45">
        <v>25374.37214363808</v>
      </c>
      <c r="N45">
        <v>23408.527246093749</v>
      </c>
      <c r="O45">
        <v>21442.682348549417</v>
      </c>
      <c r="P45">
        <v>85.852741889353226</v>
      </c>
      <c r="Q45">
        <v>85.878187862613686</v>
      </c>
      <c r="R45">
        <v>-14.147258110646774</v>
      </c>
    </row>
    <row r="46" spans="1:18" x14ac:dyDescent="0.3">
      <c r="A46" s="21">
        <v>45527</v>
      </c>
      <c r="B46">
        <v>24636.349609375</v>
      </c>
      <c r="C46">
        <v>24867.349609375</v>
      </c>
      <c r="D46">
        <v>24522.94921875</v>
      </c>
      <c r="E46">
        <v>24823.150390625</v>
      </c>
      <c r="F46">
        <v>1166100</v>
      </c>
      <c r="G46">
        <v>24182.908178981117</v>
      </c>
      <c r="H46">
        <v>23511.488650742198</v>
      </c>
      <c r="I46">
        <v>72.862906044588613</v>
      </c>
      <c r="J46">
        <v>10.491588759209524</v>
      </c>
      <c r="K46">
        <v>671.41952823891916</v>
      </c>
      <c r="L46">
        <v>602.59200434941704</v>
      </c>
      <c r="M46">
        <v>25539.2238341542</v>
      </c>
      <c r="N46">
        <v>23523.999804687501</v>
      </c>
      <c r="O46">
        <v>21508.775775220802</v>
      </c>
      <c r="P46">
        <v>93.279948230133101</v>
      </c>
      <c r="Q46">
        <v>86.803965182226776</v>
      </c>
      <c r="R46">
        <v>-6.7200517698668918</v>
      </c>
    </row>
    <row r="47" spans="1:18" x14ac:dyDescent="0.3">
      <c r="A47" s="21">
        <v>45534</v>
      </c>
      <c r="B47">
        <v>24906.099609375</v>
      </c>
      <c r="C47">
        <v>25268.349609375</v>
      </c>
      <c r="D47">
        <v>24874.69921875</v>
      </c>
      <c r="E47">
        <v>25235.900390625</v>
      </c>
      <c r="F47">
        <v>1646200</v>
      </c>
      <c r="G47">
        <v>24344.995079146913</v>
      </c>
      <c r="H47">
        <v>23643.353912768162</v>
      </c>
      <c r="I47">
        <v>75.86892306636696</v>
      </c>
      <c r="J47">
        <v>9.9263444425680127</v>
      </c>
      <c r="K47">
        <v>701.64116637875122</v>
      </c>
      <c r="L47">
        <v>622.40269963276</v>
      </c>
      <c r="M47">
        <v>25754.568727907234</v>
      </c>
      <c r="N47">
        <v>23659.824804687501</v>
      </c>
      <c r="O47">
        <v>21565.080881467769</v>
      </c>
      <c r="P47">
        <v>99.186104101664966</v>
      </c>
      <c r="Q47">
        <v>92.772931407050422</v>
      </c>
      <c r="R47">
        <v>-0.81389589833502585</v>
      </c>
    </row>
    <row r="48" spans="1:18" x14ac:dyDescent="0.3">
      <c r="A48" s="21">
        <v>45541</v>
      </c>
      <c r="B48">
        <v>25333.599609375</v>
      </c>
      <c r="C48">
        <v>25333.650390625</v>
      </c>
      <c r="D48">
        <v>24801.30078125</v>
      </c>
      <c r="E48">
        <v>24852.150390625</v>
      </c>
      <c r="F48">
        <v>1222600</v>
      </c>
      <c r="G48">
        <v>24423.054873407687</v>
      </c>
      <c r="H48">
        <v>23735.56931199638</v>
      </c>
      <c r="I48">
        <v>68.294338950777941</v>
      </c>
      <c r="J48">
        <v>10.303502564816513</v>
      </c>
      <c r="K48">
        <v>687.48556141130757</v>
      </c>
      <c r="L48">
        <v>635.41972556562348</v>
      </c>
      <c r="M48">
        <v>25826.927841283265</v>
      </c>
      <c r="N48">
        <v>23795.082324218751</v>
      </c>
      <c r="O48">
        <v>21763.236807154237</v>
      </c>
      <c r="P48">
        <v>88.117569203080691</v>
      </c>
      <c r="Q48">
        <v>93.527873844959572</v>
      </c>
      <c r="R48">
        <v>-11.882430796919305</v>
      </c>
    </row>
    <row r="49" spans="1:18" x14ac:dyDescent="0.3">
      <c r="A49" s="21">
        <v>45548</v>
      </c>
      <c r="B49">
        <v>24823.400390625</v>
      </c>
      <c r="C49">
        <v>25433.349609375</v>
      </c>
      <c r="D49">
        <v>24753.150390625</v>
      </c>
      <c r="E49">
        <v>25356.5</v>
      </c>
      <c r="F49">
        <v>1415800</v>
      </c>
      <c r="G49">
        <v>24566.717722565256</v>
      </c>
      <c r="H49">
        <v>23858.952142870963</v>
      </c>
      <c r="I49">
        <v>72.219859814953409</v>
      </c>
      <c r="J49">
        <v>8.872203805977863</v>
      </c>
      <c r="K49">
        <v>707.76557969429268</v>
      </c>
      <c r="L49">
        <v>649.88929974421592</v>
      </c>
      <c r="M49">
        <v>25979.749253198399</v>
      </c>
      <c r="N49">
        <v>23941.909863281249</v>
      </c>
      <c r="O49">
        <v>21904.0704733641</v>
      </c>
      <c r="P49">
        <v>96.548720692589058</v>
      </c>
      <c r="Q49">
        <v>94.617464665778243</v>
      </c>
      <c r="R49">
        <v>-3.4512793074109482</v>
      </c>
    </row>
    <row r="50" spans="1:18" x14ac:dyDescent="0.3">
      <c r="A50" s="21">
        <v>45555</v>
      </c>
      <c r="B50">
        <v>25406.650390625</v>
      </c>
      <c r="C50">
        <v>25849.25</v>
      </c>
      <c r="D50">
        <v>25285.55078125</v>
      </c>
      <c r="E50">
        <v>25790.94921875</v>
      </c>
      <c r="F50">
        <v>1448000</v>
      </c>
      <c r="G50">
        <v>24755.123068157602</v>
      </c>
      <c r="H50">
        <v>24005.712841069697</v>
      </c>
      <c r="I50">
        <v>75.08185087750293</v>
      </c>
      <c r="J50">
        <v>9.9096108690355891</v>
      </c>
      <c r="K50">
        <v>749.41022708790479</v>
      </c>
      <c r="L50">
        <v>669.79392910102126</v>
      </c>
      <c r="M50">
        <v>26182.368076793209</v>
      </c>
      <c r="N50">
        <v>24107.664843750001</v>
      </c>
      <c r="O50">
        <v>22032.961610706792</v>
      </c>
      <c r="P50">
        <v>97.667268930679214</v>
      </c>
      <c r="Q50">
        <v>94.111186275449654</v>
      </c>
      <c r="R50">
        <v>-2.3327310693207965</v>
      </c>
    </row>
    <row r="51" spans="1:18" x14ac:dyDescent="0.3">
      <c r="A51" s="21">
        <v>45562</v>
      </c>
      <c r="B51">
        <v>25872.55078125</v>
      </c>
      <c r="C51">
        <v>26277.349609375</v>
      </c>
      <c r="D51">
        <v>25847.349609375</v>
      </c>
      <c r="E51">
        <v>26178.94921875</v>
      </c>
      <c r="F51">
        <v>1733000</v>
      </c>
      <c r="G51">
        <v>24974.234294647664</v>
      </c>
      <c r="H51">
        <v>24170.487569097771</v>
      </c>
      <c r="I51">
        <v>77.328294012052794</v>
      </c>
      <c r="J51">
        <v>11.394571547225652</v>
      </c>
      <c r="K51">
        <v>803.74672554989229</v>
      </c>
      <c r="L51">
        <v>696.58496635887195</v>
      </c>
      <c r="M51">
        <v>26348.975889302081</v>
      </c>
      <c r="N51">
        <v>24313.852343750001</v>
      </c>
      <c r="O51">
        <v>22278.728798197921</v>
      </c>
      <c r="P51">
        <v>96.638584256903684</v>
      </c>
      <c r="Q51">
        <v>96.951524626723995</v>
      </c>
      <c r="R51">
        <v>-3.3614157430963241</v>
      </c>
    </row>
    <row r="52" spans="1:18" x14ac:dyDescent="0.3">
      <c r="A52" s="21">
        <v>45569</v>
      </c>
      <c r="B52">
        <v>26061.30078125</v>
      </c>
      <c r="C52">
        <v>26134.69921875</v>
      </c>
      <c r="D52">
        <v>24966.80078125</v>
      </c>
      <c r="E52">
        <v>25014.599609375</v>
      </c>
      <c r="F52">
        <v>1388800</v>
      </c>
      <c r="G52">
        <v>24980.445807481785</v>
      </c>
      <c r="H52">
        <v>24234.376579080079</v>
      </c>
      <c r="I52">
        <v>59.88171634003406</v>
      </c>
      <c r="J52">
        <v>4.1814865781526933</v>
      </c>
      <c r="K52">
        <v>746.06922840170591</v>
      </c>
      <c r="L52">
        <v>706.48196002205236</v>
      </c>
      <c r="M52">
        <v>26300.837066246746</v>
      </c>
      <c r="N52">
        <v>24441.27734375</v>
      </c>
      <c r="O52">
        <v>22581.717621253254</v>
      </c>
      <c r="P52">
        <v>47.024529898912597</v>
      </c>
      <c r="Q52">
        <v>80.443461028831834</v>
      </c>
      <c r="R52">
        <v>-52.97547010108741</v>
      </c>
    </row>
    <row r="53" spans="1:18" x14ac:dyDescent="0.3">
      <c r="A53" s="21">
        <v>45576</v>
      </c>
      <c r="B53">
        <v>25084.099609375</v>
      </c>
      <c r="C53">
        <v>25234.05078125</v>
      </c>
      <c r="D53">
        <v>24694.349609375</v>
      </c>
      <c r="E53">
        <v>24964.25</v>
      </c>
      <c r="F53">
        <v>1470000</v>
      </c>
      <c r="G53">
        <v>24977.953647637216</v>
      </c>
      <c r="H53">
        <v>24289.530111245371</v>
      </c>
      <c r="I53">
        <v>59.259094689050819</v>
      </c>
      <c r="J53">
        <v>2.6328085435052717</v>
      </c>
      <c r="K53">
        <v>688.42353639184512</v>
      </c>
      <c r="L53">
        <v>702.87023405739058</v>
      </c>
      <c r="M53">
        <v>26276.394390661237</v>
      </c>
      <c r="N53">
        <v>24541.634863281251</v>
      </c>
      <c r="O53">
        <v>22806.875335901266</v>
      </c>
      <c r="P53">
        <v>44.91223987630579</v>
      </c>
      <c r="Q53">
        <v>62.858451344040695</v>
      </c>
      <c r="R53">
        <v>-55.08776012369421</v>
      </c>
    </row>
    <row r="54" spans="1:18" x14ac:dyDescent="0.3">
      <c r="A54" s="21">
        <v>45583</v>
      </c>
      <c r="B54">
        <v>25023.44921875</v>
      </c>
      <c r="C54">
        <v>25212.05078125</v>
      </c>
      <c r="D54">
        <v>24567.650390625</v>
      </c>
      <c r="E54">
        <v>24854.05078125</v>
      </c>
      <c r="F54">
        <v>1234100</v>
      </c>
      <c r="G54">
        <v>24958.888450040537</v>
      </c>
      <c r="H54">
        <v>24332.125072487081</v>
      </c>
      <c r="I54">
        <v>57.841549249122835</v>
      </c>
      <c r="J54">
        <v>1.436202068042336</v>
      </c>
      <c r="K54">
        <v>626.76337755345594</v>
      </c>
      <c r="L54">
        <v>687.64872371746435</v>
      </c>
      <c r="M54">
        <v>26114.435101086543</v>
      </c>
      <c r="N54">
        <v>24657.802441406249</v>
      </c>
      <c r="O54">
        <v>23201.169781725956</v>
      </c>
      <c r="P54">
        <v>40.28911145179277</v>
      </c>
      <c r="Q54">
        <v>44.075293742337045</v>
      </c>
      <c r="R54">
        <v>-59.71088854820723</v>
      </c>
    </row>
    <row r="55" spans="1:18" x14ac:dyDescent="0.3">
      <c r="A55" s="21">
        <v>45590</v>
      </c>
      <c r="B55">
        <v>24956.150390625</v>
      </c>
      <c r="C55">
        <v>24978.30078125</v>
      </c>
      <c r="D55">
        <v>24073.900390625</v>
      </c>
      <c r="E55">
        <v>24180.80078125</v>
      </c>
      <c r="F55">
        <v>1395400</v>
      </c>
      <c r="G55">
        <v>24839.165555009698</v>
      </c>
      <c r="H55">
        <v>24320.722878131706</v>
      </c>
      <c r="I55">
        <v>49.976047806378119</v>
      </c>
      <c r="J55">
        <v>-1.4271779828709308</v>
      </c>
      <c r="K55">
        <v>518.4426768779922</v>
      </c>
      <c r="L55">
        <v>653.80726705284826</v>
      </c>
      <c r="M55">
        <v>26031.825911861299</v>
      </c>
      <c r="N55">
        <v>24702.3349609375</v>
      </c>
      <c r="O55">
        <v>23372.844010013701</v>
      </c>
      <c r="P55">
        <v>12.044617097758248</v>
      </c>
      <c r="Q55">
        <v>32.415322808618939</v>
      </c>
      <c r="R55">
        <v>-87.955382902241752</v>
      </c>
    </row>
    <row r="56" spans="1:18" x14ac:dyDescent="0.3">
      <c r="A56" s="21">
        <v>45597</v>
      </c>
      <c r="B56">
        <v>24251.099609375</v>
      </c>
      <c r="C56">
        <v>24498.19921875</v>
      </c>
      <c r="D56">
        <v>24134.900390625</v>
      </c>
      <c r="E56">
        <v>24304.349609375</v>
      </c>
      <c r="F56">
        <v>1221600</v>
      </c>
      <c r="G56">
        <v>24756.876233697138</v>
      </c>
      <c r="H56">
        <v>24319.490733560255</v>
      </c>
      <c r="I56">
        <v>51.285212435416355</v>
      </c>
      <c r="J56">
        <v>-2.1361111838573033</v>
      </c>
      <c r="K56">
        <v>437.38550013688291</v>
      </c>
      <c r="L56">
        <v>610.52266062756269</v>
      </c>
      <c r="M56">
        <v>25957.319718048213</v>
      </c>
      <c r="N56">
        <v>24744.2724609375</v>
      </c>
      <c r="O56">
        <v>23531.225203826787</v>
      </c>
      <c r="P56">
        <v>17.227794488659313</v>
      </c>
      <c r="Q56">
        <v>23.187174346070112</v>
      </c>
      <c r="R56">
        <v>-82.772205511340673</v>
      </c>
    </row>
    <row r="57" spans="1:18" x14ac:dyDescent="0.3">
      <c r="A57" s="21">
        <v>45604</v>
      </c>
      <c r="B57">
        <v>24315.75</v>
      </c>
      <c r="C57">
        <v>24537.599609375</v>
      </c>
      <c r="D57">
        <v>23816.150390625</v>
      </c>
      <c r="E57">
        <v>24148.19921875</v>
      </c>
      <c r="F57">
        <v>1547000</v>
      </c>
      <c r="G57">
        <v>24663.224038973734</v>
      </c>
      <c r="H57">
        <v>24306.615644461141</v>
      </c>
      <c r="I57">
        <v>49.521219971232597</v>
      </c>
      <c r="J57">
        <v>-2.3040170323295972</v>
      </c>
      <c r="K57">
        <v>356.6083945125938</v>
      </c>
      <c r="L57">
        <v>559.73956990194404</v>
      </c>
      <c r="M57">
        <v>25879.583756224736</v>
      </c>
      <c r="N57">
        <v>24776.62744140625</v>
      </c>
      <c r="O57">
        <v>23673.671126587764</v>
      </c>
      <c r="P57">
        <v>13.491342984158827</v>
      </c>
      <c r="Q57">
        <v>14.254584856858797</v>
      </c>
      <c r="R57">
        <v>-86.508657015841166</v>
      </c>
    </row>
    <row r="58" spans="1:18" x14ac:dyDescent="0.3">
      <c r="A58" s="21">
        <v>45611</v>
      </c>
      <c r="B58">
        <v>24087.25</v>
      </c>
      <c r="C58">
        <v>24336.80078125</v>
      </c>
      <c r="D58">
        <v>23484.150390625</v>
      </c>
      <c r="E58">
        <v>23532.69921875</v>
      </c>
      <c r="F58">
        <v>1091500</v>
      </c>
      <c r="G58">
        <v>24489.282092498917</v>
      </c>
      <c r="H58">
        <v>24248.507764889648</v>
      </c>
      <c r="I58">
        <v>43.211962852604266</v>
      </c>
      <c r="J58">
        <v>-3.425877834205393</v>
      </c>
      <c r="K58">
        <v>240.77432760926968</v>
      </c>
      <c r="L58">
        <v>495.94628276438556</v>
      </c>
      <c r="M58">
        <v>25942.829662342228</v>
      </c>
      <c r="N58">
        <v>24752.732421875</v>
      </c>
      <c r="O58">
        <v>23562.635181407772</v>
      </c>
      <c r="P58">
        <v>1.7381083239285149</v>
      </c>
      <c r="Q58">
        <v>10.819081932248885</v>
      </c>
      <c r="R58">
        <v>-98.261891676071485</v>
      </c>
    </row>
    <row r="59" spans="1:18" x14ac:dyDescent="0.3">
      <c r="A59" s="21">
        <v>45618</v>
      </c>
      <c r="B59">
        <v>23605.30078125</v>
      </c>
      <c r="C59">
        <v>23956.099609375</v>
      </c>
      <c r="D59">
        <v>23263.150390625</v>
      </c>
      <c r="E59">
        <v>23907.25</v>
      </c>
      <c r="F59">
        <v>1348700</v>
      </c>
      <c r="G59">
        <v>24399.732137073202</v>
      </c>
      <c r="H59">
        <v>24222.910969055862</v>
      </c>
      <c r="I59">
        <v>47.588036799232135</v>
      </c>
      <c r="J59">
        <v>-2.5830100893198482</v>
      </c>
      <c r="K59">
        <v>176.82116801734082</v>
      </c>
      <c r="L59">
        <v>432.12106877619578</v>
      </c>
      <c r="M59">
        <v>25967.326651142517</v>
      </c>
      <c r="N59">
        <v>24731.902441406251</v>
      </c>
      <c r="O59">
        <v>23496.478231669986</v>
      </c>
      <c r="P59">
        <v>21.368846669733745</v>
      </c>
      <c r="Q59">
        <v>12.199432659273697</v>
      </c>
      <c r="R59">
        <v>-78.631153330266258</v>
      </c>
    </row>
    <row r="60" spans="1:18" x14ac:dyDescent="0.3">
      <c r="A60" s="21">
        <v>45625</v>
      </c>
      <c r="B60">
        <v>24253.55078125</v>
      </c>
      <c r="C60">
        <v>24354.55078125</v>
      </c>
      <c r="D60">
        <v>23873.349609375</v>
      </c>
      <c r="E60">
        <v>24131.099609375</v>
      </c>
      <c r="F60">
        <v>1861700</v>
      </c>
      <c r="G60">
        <v>24358.401495337726</v>
      </c>
      <c r="H60">
        <v>24216.030874437078</v>
      </c>
      <c r="I60">
        <v>50.0646936070262</v>
      </c>
      <c r="J60">
        <v>-2.7879248619118391</v>
      </c>
      <c r="K60">
        <v>142.37062090064865</v>
      </c>
      <c r="L60">
        <v>374.17084043785741</v>
      </c>
      <c r="M60">
        <v>25974.184275166768</v>
      </c>
      <c r="N60">
        <v>24713.349902343751</v>
      </c>
      <c r="O60">
        <v>23452.515529520733</v>
      </c>
      <c r="P60">
        <v>28.795350133158813</v>
      </c>
      <c r="Q60">
        <v>17.300768375607024</v>
      </c>
      <c r="R60">
        <v>-71.20464986684118</v>
      </c>
    </row>
    <row r="61" spans="1:18" x14ac:dyDescent="0.3">
      <c r="A61" s="21">
        <v>45632</v>
      </c>
      <c r="B61">
        <v>24140.849609375</v>
      </c>
      <c r="C61">
        <v>24857.75</v>
      </c>
      <c r="D61">
        <v>24008.650390625</v>
      </c>
      <c r="E61">
        <v>24677.80078125</v>
      </c>
      <c r="F61">
        <v>1496100</v>
      </c>
      <c r="G61">
        <v>24407.542423064766</v>
      </c>
      <c r="H61">
        <v>24250.604815699713</v>
      </c>
      <c r="I61">
        <v>55.5847765291523</v>
      </c>
      <c r="J61">
        <v>-2.2115304020708937</v>
      </c>
      <c r="K61">
        <v>156.93760736505283</v>
      </c>
      <c r="L61">
        <v>330.72411059589683</v>
      </c>
      <c r="M61">
        <v>25978.762586274228</v>
      </c>
      <c r="N61">
        <v>24720.694921875001</v>
      </c>
      <c r="O61">
        <v>23462.627257475775</v>
      </c>
      <c r="P61">
        <v>46.932876295139543</v>
      </c>
      <c r="Q61">
        <v>32.365691032677368</v>
      </c>
      <c r="R61">
        <v>-53.067123704860464</v>
      </c>
    </row>
    <row r="62" spans="1:18" x14ac:dyDescent="0.3">
      <c r="A62" s="21">
        <v>45639</v>
      </c>
      <c r="B62">
        <v>24633.900390625</v>
      </c>
      <c r="C62">
        <v>24792.30078125</v>
      </c>
      <c r="D62">
        <v>24180.80078125</v>
      </c>
      <c r="E62">
        <v>24768.30078125</v>
      </c>
      <c r="F62">
        <v>1272600</v>
      </c>
      <c r="G62">
        <v>24463.04617090672</v>
      </c>
      <c r="H62">
        <v>24289.335160236453</v>
      </c>
      <c r="I62">
        <v>56.443152554903271</v>
      </c>
      <c r="J62">
        <v>-0.33739377903745371</v>
      </c>
      <c r="K62">
        <v>173.71101067026757</v>
      </c>
      <c r="L62">
        <v>299.3214424863221</v>
      </c>
      <c r="M62">
        <v>25974.5155701271</v>
      </c>
      <c r="N62">
        <v>24717.367480468751</v>
      </c>
      <c r="O62">
        <v>23460.219390810402</v>
      </c>
      <c r="P62">
        <v>49.935332119460625</v>
      </c>
      <c r="Q62">
        <v>41.887852849252994</v>
      </c>
      <c r="R62">
        <v>-50.064667880539368</v>
      </c>
    </row>
    <row r="63" spans="1:18" x14ac:dyDescent="0.3">
      <c r="A63" s="21">
        <v>45646</v>
      </c>
      <c r="B63">
        <v>24753.400390625</v>
      </c>
      <c r="C63">
        <v>24781.25</v>
      </c>
      <c r="D63">
        <v>23537.349609375</v>
      </c>
      <c r="E63">
        <v>23587.5</v>
      </c>
      <c r="F63">
        <v>1401600</v>
      </c>
      <c r="G63">
        <v>24328.341704181516</v>
      </c>
      <c r="H63">
        <v>24236.86759089828</v>
      </c>
      <c r="I63">
        <v>44.389062393378374</v>
      </c>
      <c r="J63">
        <v>-6.9765148975607811</v>
      </c>
      <c r="K63">
        <v>91.474113283235056</v>
      </c>
      <c r="L63">
        <v>257.75192568162544</v>
      </c>
      <c r="M63">
        <v>26015.74995390945</v>
      </c>
      <c r="N63">
        <v>24660.857519531251</v>
      </c>
      <c r="O63">
        <v>23305.965085153053</v>
      </c>
      <c r="P63">
        <v>10.760722362256766</v>
      </c>
      <c r="Q63">
        <v>35.876310258952309</v>
      </c>
      <c r="R63">
        <v>-89.239277637743228</v>
      </c>
    </row>
    <row r="64" spans="1:18" x14ac:dyDescent="0.3">
      <c r="A64" s="21">
        <v>45653</v>
      </c>
      <c r="B64">
        <v>23738.19921875</v>
      </c>
      <c r="C64">
        <v>23938.849609375</v>
      </c>
      <c r="D64">
        <v>23647.19921875</v>
      </c>
      <c r="E64">
        <v>23813.400390625</v>
      </c>
      <c r="F64">
        <v>722000</v>
      </c>
      <c r="G64">
        <v>24249.117447598601</v>
      </c>
      <c r="H64">
        <v>24205.23179130234</v>
      </c>
      <c r="I64">
        <v>46.732795277182888</v>
      </c>
      <c r="J64">
        <v>-7.6676077772559248</v>
      </c>
      <c r="K64">
        <v>43.885656296261004</v>
      </c>
      <c r="L64">
        <v>214.97862985262606</v>
      </c>
      <c r="M64">
        <v>26035.144189965307</v>
      </c>
      <c r="N64">
        <v>24633.152539062499</v>
      </c>
      <c r="O64">
        <v>23231.160888159691</v>
      </c>
      <c r="P64">
        <v>18.255263174946705</v>
      </c>
      <c r="Q64">
        <v>26.317105885554696</v>
      </c>
      <c r="R64">
        <v>-81.744736825053295</v>
      </c>
    </row>
    <row r="65" spans="1:18" x14ac:dyDescent="0.3">
      <c r="A65" s="21">
        <v>45660</v>
      </c>
      <c r="B65">
        <v>23796.900390625</v>
      </c>
      <c r="C65">
        <v>24226.69921875</v>
      </c>
      <c r="D65">
        <v>23460.44921875</v>
      </c>
      <c r="E65">
        <v>24004.75</v>
      </c>
      <c r="F65">
        <v>1308900</v>
      </c>
      <c r="G65">
        <v>24211.521445362025</v>
      </c>
      <c r="H65">
        <v>24190.26394373829</v>
      </c>
      <c r="I65">
        <v>48.704852271983434</v>
      </c>
      <c r="J65">
        <v>-8.3051431918924621</v>
      </c>
      <c r="K65">
        <v>21.257501623735152</v>
      </c>
      <c r="L65">
        <v>176.23437380664325</v>
      </c>
      <c r="M65">
        <v>26035.98443782506</v>
      </c>
      <c r="N65">
        <v>24606.33251953125</v>
      </c>
      <c r="O65">
        <v>23176.68060123744</v>
      </c>
      <c r="P65">
        <v>25.825770473115483</v>
      </c>
      <c r="Q65">
        <v>18.280585336772983</v>
      </c>
      <c r="R65">
        <v>-74.174229526884517</v>
      </c>
    </row>
    <row r="66" spans="1:18" x14ac:dyDescent="0.3">
      <c r="A66" s="21">
        <v>45667</v>
      </c>
      <c r="B66">
        <v>24045.80078125</v>
      </c>
      <c r="C66">
        <v>24089.94921875</v>
      </c>
      <c r="D66">
        <v>23344.349609375</v>
      </c>
      <c r="E66">
        <v>23431.5</v>
      </c>
      <c r="F66">
        <v>1337000</v>
      </c>
      <c r="G66">
        <v>24091.515417346825</v>
      </c>
      <c r="H66">
        <v>24133.648231007101</v>
      </c>
      <c r="I66">
        <v>43.508112554026866</v>
      </c>
      <c r="J66">
        <v>-6.3287025740827119</v>
      </c>
      <c r="K66">
        <v>-42.132813660275133</v>
      </c>
      <c r="L66">
        <v>132.56090889898135</v>
      </c>
      <c r="M66">
        <v>26054.708033174255</v>
      </c>
      <c r="N66">
        <v>24536.75</v>
      </c>
      <c r="O66">
        <v>23018.791966825745</v>
      </c>
      <c r="P66">
        <v>8.5417614292325545</v>
      </c>
      <c r="Q66">
        <v>17.540931692431581</v>
      </c>
      <c r="R66">
        <v>-91.458238570767449</v>
      </c>
    </row>
    <row r="67" spans="1:18" x14ac:dyDescent="0.3">
      <c r="A67" s="21">
        <v>45674</v>
      </c>
      <c r="B67">
        <v>23195.400390625</v>
      </c>
      <c r="C67">
        <v>23391.650390625</v>
      </c>
      <c r="D67">
        <v>23047.25</v>
      </c>
      <c r="E67">
        <v>23203.19921875</v>
      </c>
      <c r="F67">
        <v>1428000</v>
      </c>
      <c r="G67">
        <v>23954.848757317435</v>
      </c>
      <c r="H67">
        <v>24064.259697997917</v>
      </c>
      <c r="I67">
        <v>41.604212867179371</v>
      </c>
      <c r="J67">
        <v>-7.0542907607879286</v>
      </c>
      <c r="K67">
        <v>-109.41094068048187</v>
      </c>
      <c r="L67">
        <v>84.166514680965847</v>
      </c>
      <c r="M67">
        <v>26026.399528049908</v>
      </c>
      <c r="N67">
        <v>24435.114941406249</v>
      </c>
      <c r="O67">
        <v>22843.830354762591</v>
      </c>
      <c r="P67">
        <v>7.203860054963199</v>
      </c>
      <c r="Q67">
        <v>13.857130652437078</v>
      </c>
      <c r="R67">
        <v>-92.796139945036799</v>
      </c>
    </row>
    <row r="68" spans="1:18" x14ac:dyDescent="0.3">
      <c r="A68" s="21">
        <v>45681</v>
      </c>
      <c r="B68">
        <v>23290.400390625</v>
      </c>
      <c r="C68">
        <v>23426.30078125</v>
      </c>
      <c r="D68">
        <v>22976.849609375</v>
      </c>
      <c r="E68">
        <v>23092.19921875</v>
      </c>
      <c r="F68">
        <v>1430300</v>
      </c>
      <c r="G68">
        <v>23822.131283043396</v>
      </c>
      <c r="H68">
        <v>23991.80429450388</v>
      </c>
      <c r="I68">
        <v>40.672305228359164</v>
      </c>
      <c r="J68">
        <v>-7.0887903867531632</v>
      </c>
      <c r="K68">
        <v>-169.67301146048339</v>
      </c>
      <c r="L68">
        <v>33.398589057448241</v>
      </c>
      <c r="M68">
        <v>26033.129131876201</v>
      </c>
      <c r="N68">
        <v>24347.117382812499</v>
      </c>
      <c r="O68">
        <v>22661.105633748797</v>
      </c>
      <c r="P68">
        <v>5.7632987002594795</v>
      </c>
      <c r="Q68">
        <v>7.1696400614850786</v>
      </c>
      <c r="R68">
        <v>-94.236701299740517</v>
      </c>
    </row>
    <row r="69" spans="1:18" x14ac:dyDescent="0.3">
      <c r="A69" s="21">
        <v>45688</v>
      </c>
      <c r="B69">
        <v>22940.150390625</v>
      </c>
      <c r="C69">
        <v>23546.80078125</v>
      </c>
      <c r="D69">
        <v>22786.900390625</v>
      </c>
      <c r="E69">
        <v>23508.400390625</v>
      </c>
      <c r="F69">
        <v>1512400</v>
      </c>
      <c r="G69">
        <v>23773.864327003819</v>
      </c>
      <c r="H69">
        <v>23955.789061360723</v>
      </c>
      <c r="I69">
        <v>45.593300482410264</v>
      </c>
      <c r="J69">
        <v>-2.7807201122403868</v>
      </c>
      <c r="K69">
        <v>-181.92473435690408</v>
      </c>
      <c r="L69">
        <v>-9.6660894658762775</v>
      </c>
      <c r="M69">
        <v>25910.092053643628</v>
      </c>
      <c r="N69">
        <v>24254.71240234375</v>
      </c>
      <c r="O69">
        <v>22599.332751043872</v>
      </c>
      <c r="P69">
        <v>34.84077244111198</v>
      </c>
      <c r="Q69">
        <v>15.935977065444888</v>
      </c>
      <c r="R69">
        <v>-65.15922755888802</v>
      </c>
    </row>
    <row r="70" spans="1:18" x14ac:dyDescent="0.3">
      <c r="A70" s="21">
        <v>45695</v>
      </c>
      <c r="B70">
        <v>23528.599609375</v>
      </c>
      <c r="C70">
        <v>23807.30078125</v>
      </c>
      <c r="D70">
        <v>23222</v>
      </c>
      <c r="E70">
        <v>23559.94921875</v>
      </c>
      <c r="F70">
        <v>1929500</v>
      </c>
      <c r="G70">
        <v>23740.953926741258</v>
      </c>
      <c r="H70">
        <v>23926.310304187296</v>
      </c>
      <c r="I70">
        <v>46.188646658426777</v>
      </c>
      <c r="J70">
        <v>-3.0628278583429314</v>
      </c>
      <c r="K70">
        <v>-185.3563774460381</v>
      </c>
      <c r="L70">
        <v>-44.804156096260009</v>
      </c>
      <c r="M70">
        <v>25657.316171730214</v>
      </c>
      <c r="N70">
        <v>24143.162402343751</v>
      </c>
      <c r="O70">
        <v>22629.008632957288</v>
      </c>
      <c r="P70">
        <v>37.330032302940275</v>
      </c>
      <c r="Q70">
        <v>25.978034481437248</v>
      </c>
      <c r="R70">
        <v>-62.669967697059725</v>
      </c>
    </row>
    <row r="71" spans="1:18" x14ac:dyDescent="0.3">
      <c r="A71" s="21">
        <v>45702</v>
      </c>
      <c r="B71">
        <v>23543.80078125</v>
      </c>
      <c r="C71">
        <v>23568.599609375</v>
      </c>
      <c r="D71">
        <v>22774.849609375</v>
      </c>
      <c r="E71">
        <v>22929.25</v>
      </c>
      <c r="F71">
        <v>1302100</v>
      </c>
      <c r="G71">
        <v>23616.075167885469</v>
      </c>
      <c r="H71">
        <v>23852.087295052646</v>
      </c>
      <c r="I71">
        <v>40.368335422305577</v>
      </c>
      <c r="J71">
        <v>-5.0477851690222124</v>
      </c>
      <c r="K71">
        <v>-236.01212716717782</v>
      </c>
      <c r="L71">
        <v>-83.045758176284878</v>
      </c>
      <c r="M71">
        <v>25253.161202898547</v>
      </c>
      <c r="N71">
        <v>23980.677441406249</v>
      </c>
      <c r="O71">
        <v>22708.193679913951</v>
      </c>
      <c r="P71">
        <v>7.412759214024164</v>
      </c>
      <c r="Q71">
        <v>26.527854652692142</v>
      </c>
      <c r="R71">
        <v>-92.587240785975837</v>
      </c>
    </row>
    <row r="72" spans="1:18" x14ac:dyDescent="0.3">
      <c r="A72" s="21">
        <v>45709</v>
      </c>
      <c r="B72">
        <v>22809.900390625</v>
      </c>
      <c r="C72">
        <v>23049.94921875</v>
      </c>
      <c r="D72">
        <v>22720.30078125</v>
      </c>
      <c r="E72">
        <v>22795.900390625</v>
      </c>
      <c r="F72">
        <v>1108600</v>
      </c>
      <c r="G72">
        <v>23489.893379869933</v>
      </c>
      <c r="H72">
        <v>23773.491697893118</v>
      </c>
      <c r="I72">
        <v>39.242381885927024</v>
      </c>
      <c r="J72">
        <v>-3.1309575721681138</v>
      </c>
      <c r="K72">
        <v>-283.59831802318513</v>
      </c>
      <c r="L72">
        <v>-123.15627674586904</v>
      </c>
      <c r="M72">
        <v>25149.532034301243</v>
      </c>
      <c r="N72">
        <v>23869.742480468751</v>
      </c>
      <c r="O72">
        <v>22589.952926636259</v>
      </c>
      <c r="P72">
        <v>3.5369078578255699</v>
      </c>
      <c r="Q72">
        <v>16.093233124930006</v>
      </c>
      <c r="R72">
        <v>-96.463092142174432</v>
      </c>
    </row>
    <row r="73" spans="1:18" x14ac:dyDescent="0.3">
      <c r="A73" s="21">
        <v>45716</v>
      </c>
      <c r="B73">
        <v>22609.349609375</v>
      </c>
      <c r="C73">
        <v>22668.05078125</v>
      </c>
      <c r="D73">
        <v>22104.849609375</v>
      </c>
      <c r="E73">
        <v>22124.69921875</v>
      </c>
      <c r="F73">
        <v>1305100</v>
      </c>
      <c r="G73">
        <v>23279.86202577264</v>
      </c>
      <c r="H73">
        <v>23650.839417550727</v>
      </c>
      <c r="I73">
        <v>34.088513410718136</v>
      </c>
      <c r="J73">
        <v>-7.4561096790722425</v>
      </c>
      <c r="K73">
        <v>-370.97739177808762</v>
      </c>
      <c r="L73">
        <v>-172.72050627696601</v>
      </c>
      <c r="M73">
        <v>25121.277582027542</v>
      </c>
      <c r="N73">
        <v>23727.764941406251</v>
      </c>
      <c r="O73">
        <v>22334.25230078496</v>
      </c>
      <c r="P73">
        <v>0.72104350170452325</v>
      </c>
      <c r="Q73">
        <v>3.8902368578514217</v>
      </c>
      <c r="R73">
        <v>-99.278956498295486</v>
      </c>
    </row>
    <row r="74" spans="1:18" x14ac:dyDescent="0.3">
      <c r="A74" s="21">
        <v>45723</v>
      </c>
      <c r="B74">
        <v>22194.55078125</v>
      </c>
      <c r="C74">
        <v>22633.80078125</v>
      </c>
      <c r="D74">
        <v>21964.599609375</v>
      </c>
      <c r="E74">
        <v>22552.5</v>
      </c>
      <c r="F74">
        <v>1503500</v>
      </c>
      <c r="G74">
        <v>23167.959507014581</v>
      </c>
      <c r="H74">
        <v>23569.160611163323</v>
      </c>
      <c r="I74">
        <v>39.538902982769308</v>
      </c>
      <c r="J74">
        <v>-6.5417640925145015</v>
      </c>
      <c r="K74">
        <v>-401.20110414874216</v>
      </c>
      <c r="L74">
        <v>-218.41663066368477</v>
      </c>
      <c r="M74">
        <v>24994.660752494001</v>
      </c>
      <c r="N74">
        <v>23612.687402343749</v>
      </c>
      <c r="O74">
        <v>22230.714052193496</v>
      </c>
      <c r="P74">
        <v>20.320422765786379</v>
      </c>
      <c r="Q74">
        <v>8.192791375105493</v>
      </c>
      <c r="R74">
        <v>-79.679577234213625</v>
      </c>
    </row>
    <row r="75" spans="1:18" x14ac:dyDescent="0.3">
      <c r="A75" s="21">
        <v>45730</v>
      </c>
      <c r="B75">
        <v>22521.849609375</v>
      </c>
      <c r="C75">
        <v>22676.75</v>
      </c>
      <c r="D75">
        <v>22314.69921875</v>
      </c>
      <c r="E75">
        <v>22397.19921875</v>
      </c>
      <c r="F75">
        <v>1299000</v>
      </c>
      <c r="G75">
        <v>23049.380401599727</v>
      </c>
      <c r="H75">
        <v>23482.032264293819</v>
      </c>
      <c r="I75">
        <v>38.300705374213585</v>
      </c>
      <c r="J75">
        <v>-9.2415105491603704</v>
      </c>
      <c r="K75">
        <v>-432.65186269409242</v>
      </c>
      <c r="L75">
        <v>-261.26368067962306</v>
      </c>
      <c r="M75">
        <v>24979.340318108993</v>
      </c>
      <c r="N75">
        <v>23523.50732421875</v>
      </c>
      <c r="O75">
        <v>22067.674330328507</v>
      </c>
      <c r="P75">
        <v>15.298632460803862</v>
      </c>
      <c r="Q75">
        <v>12.113366242764926</v>
      </c>
      <c r="R75">
        <v>-84.701367539196141</v>
      </c>
    </row>
    <row r="76" spans="1:18" x14ac:dyDescent="0.3">
      <c r="A76" s="21">
        <v>45737</v>
      </c>
      <c r="B76">
        <v>22353.150390625</v>
      </c>
      <c r="C76">
        <v>23402.69921875</v>
      </c>
      <c r="D76">
        <v>22353.150390625</v>
      </c>
      <c r="E76">
        <v>23350.400390625</v>
      </c>
      <c r="F76">
        <v>1702400</v>
      </c>
      <c r="G76">
        <v>23095.691367264884</v>
      </c>
      <c r="H76">
        <v>23472.248859966105</v>
      </c>
      <c r="I76">
        <v>48.88191930566601</v>
      </c>
      <c r="J76">
        <v>-5.7246575094015872</v>
      </c>
      <c r="K76">
        <v>-376.55749270122033</v>
      </c>
      <c r="L76">
        <v>-284.32244463810008</v>
      </c>
      <c r="M76">
        <v>24885.709933241029</v>
      </c>
      <c r="N76">
        <v>23475.809863281251</v>
      </c>
      <c r="O76">
        <v>22065.909793321473</v>
      </c>
      <c r="P76">
        <v>49.200312039525009</v>
      </c>
      <c r="Q76">
        <v>28.273122422038416</v>
      </c>
      <c r="R76">
        <v>-50.799687960474991</v>
      </c>
    </row>
    <row r="77" spans="1:18" x14ac:dyDescent="0.3">
      <c r="A77" s="21">
        <v>45744</v>
      </c>
      <c r="B77">
        <v>23515.400390625</v>
      </c>
      <c r="C77">
        <v>23869.599609375</v>
      </c>
      <c r="D77">
        <v>23412.19921875</v>
      </c>
      <c r="E77">
        <v>23519.349609375</v>
      </c>
      <c r="F77">
        <v>1734400</v>
      </c>
      <c r="G77">
        <v>23160.869794299979</v>
      </c>
      <c r="H77">
        <v>23475.748700353779</v>
      </c>
      <c r="I77">
        <v>50.502226150956531</v>
      </c>
      <c r="J77">
        <v>-0.28892587440381146</v>
      </c>
      <c r="K77">
        <v>-314.87890605380016</v>
      </c>
      <c r="L77">
        <v>-290.43373725076032</v>
      </c>
      <c r="M77">
        <v>24818.73055837506</v>
      </c>
      <c r="N77">
        <v>23444.367382812499</v>
      </c>
      <c r="O77">
        <v>22070.004207249938</v>
      </c>
      <c r="P77">
        <v>68.730395140714649</v>
      </c>
      <c r="Q77">
        <v>44.409779880347834</v>
      </c>
      <c r="R77">
        <v>-31.269604859285355</v>
      </c>
    </row>
    <row r="78" spans="1:18" x14ac:dyDescent="0.3">
      <c r="A78" s="21">
        <v>45751</v>
      </c>
      <c r="B78">
        <v>23341.099609375</v>
      </c>
      <c r="C78">
        <v>23565.150390625</v>
      </c>
      <c r="D78">
        <v>22857.44921875</v>
      </c>
      <c r="E78">
        <v>22904.44921875</v>
      </c>
      <c r="F78">
        <v>1405300</v>
      </c>
      <c r="G78">
        <v>23121.420354150323</v>
      </c>
      <c r="H78">
        <v>23433.307877445313</v>
      </c>
      <c r="I78">
        <v>44.921276770575076</v>
      </c>
      <c r="J78">
        <v>-3.8169734559741486</v>
      </c>
      <c r="K78">
        <v>-311.88752329499039</v>
      </c>
      <c r="L78">
        <v>-294.72449464469207</v>
      </c>
      <c r="M78">
        <v>24807.389411829525</v>
      </c>
      <c r="N78">
        <v>23412.954882812501</v>
      </c>
      <c r="O78">
        <v>22018.520353795477</v>
      </c>
      <c r="P78">
        <v>41.547666843666221</v>
      </c>
      <c r="Q78">
        <v>53.159458007968624</v>
      </c>
      <c r="R78">
        <v>-58.452333156333779</v>
      </c>
    </row>
    <row r="79" spans="1:18" x14ac:dyDescent="0.3">
      <c r="A79" s="21">
        <v>45758</v>
      </c>
      <c r="B79">
        <v>21758.400390625</v>
      </c>
      <c r="C79">
        <v>22923.900390625</v>
      </c>
      <c r="D79">
        <v>21743.650390625</v>
      </c>
      <c r="E79">
        <v>22828.55078125</v>
      </c>
      <c r="F79">
        <v>1901400</v>
      </c>
      <c r="G79">
        <v>23076.363380003149</v>
      </c>
      <c r="H79">
        <v>23388.39116666076</v>
      </c>
      <c r="I79">
        <v>44.270953659415532</v>
      </c>
      <c r="J79">
        <v>-4.8998603141044983</v>
      </c>
      <c r="K79">
        <v>-312.0277866576107</v>
      </c>
      <c r="L79">
        <v>-298.18515316669874</v>
      </c>
      <c r="M79">
        <v>24756.396957645342</v>
      </c>
      <c r="N79">
        <v>23359.019921874999</v>
      </c>
      <c r="O79">
        <v>21961.642886104655</v>
      </c>
      <c r="P79">
        <v>46.238798639812536</v>
      </c>
      <c r="Q79">
        <v>52.172286874731135</v>
      </c>
      <c r="R79">
        <v>-53.761201360187464</v>
      </c>
    </row>
    <row r="80" spans="1:18" x14ac:dyDescent="0.3">
      <c r="A80" s="21">
        <v>45765</v>
      </c>
      <c r="B80">
        <v>23368.349609375</v>
      </c>
      <c r="C80">
        <v>23872.349609375</v>
      </c>
      <c r="D80">
        <v>23207</v>
      </c>
      <c r="E80">
        <v>23851.650390625</v>
      </c>
      <c r="F80">
        <v>1242000</v>
      </c>
      <c r="G80">
        <v>23195.638566290309</v>
      </c>
      <c r="H80">
        <v>23422.791682957013</v>
      </c>
      <c r="I80">
        <v>53.948967439279485</v>
      </c>
      <c r="J80">
        <v>1.793100700445982</v>
      </c>
      <c r="K80">
        <v>-227.15311666670459</v>
      </c>
      <c r="L80">
        <v>-283.9787454745038</v>
      </c>
      <c r="M80">
        <v>24715.24302109169</v>
      </c>
      <c r="N80">
        <v>23345.047460937501</v>
      </c>
      <c r="O80">
        <v>21974.851900783313</v>
      </c>
      <c r="P80">
        <v>99.027611859501931</v>
      </c>
      <c r="Q80">
        <v>62.271359114326891</v>
      </c>
      <c r="R80">
        <v>-0.97238814049806677</v>
      </c>
    </row>
    <row r="81" spans="1:18" x14ac:dyDescent="0.3">
      <c r="A81" s="21">
        <v>45772</v>
      </c>
      <c r="B81">
        <v>23949.150390625</v>
      </c>
      <c r="C81">
        <v>24365.44921875</v>
      </c>
      <c r="D81">
        <v>23847.849609375</v>
      </c>
      <c r="E81">
        <v>24039.349609375</v>
      </c>
      <c r="F81">
        <v>2008500</v>
      </c>
      <c r="G81">
        <v>23325.440506094063</v>
      </c>
      <c r="H81">
        <v>23468.567391521166</v>
      </c>
      <c r="I81">
        <v>55.476611118431727</v>
      </c>
      <c r="J81">
        <v>3.6035995844457824</v>
      </c>
      <c r="K81">
        <v>-143.12688542710384</v>
      </c>
      <c r="L81">
        <v>-255.80837284286457</v>
      </c>
      <c r="M81">
        <v>24578.307515552915</v>
      </c>
      <c r="N81">
        <v>23313.124902343749</v>
      </c>
      <c r="O81">
        <v>22047.942289134582</v>
      </c>
      <c r="P81">
        <v>87.561989658519579</v>
      </c>
      <c r="Q81">
        <v>77.609466719278018</v>
      </c>
      <c r="R81">
        <v>-12.438010341480421</v>
      </c>
    </row>
    <row r="82" spans="1:18" x14ac:dyDescent="0.3">
      <c r="A82" s="21">
        <v>45779</v>
      </c>
      <c r="B82">
        <v>24070.25</v>
      </c>
      <c r="C82">
        <v>24589.150390625</v>
      </c>
      <c r="D82">
        <v>24054.05078125</v>
      </c>
      <c r="E82">
        <v>24346.69921875</v>
      </c>
      <c r="F82">
        <v>1523700</v>
      </c>
      <c r="G82">
        <v>23482.557477818384</v>
      </c>
      <c r="H82">
        <v>23533.752310396223</v>
      </c>
      <c r="I82">
        <v>57.93718234005874</v>
      </c>
      <c r="J82">
        <v>5.4325704889181425</v>
      </c>
      <c r="K82">
        <v>-51.194832577839406</v>
      </c>
      <c r="L82">
        <v>-214.88566406681784</v>
      </c>
      <c r="M82">
        <v>24465.892756426154</v>
      </c>
      <c r="N82">
        <v>23292.044824218749</v>
      </c>
      <c r="O82">
        <v>22118.196892011343</v>
      </c>
      <c r="P82">
        <v>91.479487897557547</v>
      </c>
      <c r="Q82">
        <v>92.689696471859676</v>
      </c>
      <c r="R82">
        <v>-8.5205121024424528</v>
      </c>
    </row>
    <row r="83" spans="1:18" x14ac:dyDescent="0.3">
      <c r="A83" s="21">
        <v>45786</v>
      </c>
      <c r="B83">
        <v>24419.5</v>
      </c>
      <c r="C83">
        <v>24526.400390625</v>
      </c>
      <c r="D83">
        <v>23935.75</v>
      </c>
      <c r="E83">
        <v>24008</v>
      </c>
      <c r="F83">
        <v>1671000</v>
      </c>
      <c r="G83">
        <v>23563.394896324266</v>
      </c>
      <c r="H83">
        <v>23568.950824681764</v>
      </c>
      <c r="I83">
        <v>54.371171719608427</v>
      </c>
      <c r="J83">
        <v>2.1251961046836465</v>
      </c>
      <c r="K83">
        <v>-5.5559283574984875</v>
      </c>
      <c r="L83">
        <v>-173.01971633318814</v>
      </c>
      <c r="M83">
        <v>24523.687077661511</v>
      </c>
      <c r="N83">
        <v>23313.06982421875</v>
      </c>
      <c r="O83">
        <v>22102.452570775989</v>
      </c>
      <c r="P83">
        <v>79.576510608856083</v>
      </c>
      <c r="Q83">
        <v>86.205996054977732</v>
      </c>
      <c r="R83">
        <v>-20.42348939114391</v>
      </c>
    </row>
    <row r="84" spans="1:18" x14ac:dyDescent="0.3">
      <c r="A84" s="21">
        <v>45793</v>
      </c>
      <c r="B84">
        <v>24420.099609375</v>
      </c>
      <c r="C84">
        <v>25116.25</v>
      </c>
      <c r="D84">
        <v>24378.849609375</v>
      </c>
      <c r="E84">
        <v>25019.80078125</v>
      </c>
      <c r="F84">
        <v>2070700</v>
      </c>
      <c r="G84">
        <v>23787.457592051269</v>
      </c>
      <c r="H84">
        <v>23676.616774530019</v>
      </c>
      <c r="I84">
        <v>61.912867904535837</v>
      </c>
      <c r="J84">
        <v>6.1963272880834142</v>
      </c>
      <c r="K84">
        <v>110.84081752124985</v>
      </c>
      <c r="L84">
        <v>-116.24760892033171</v>
      </c>
      <c r="M84">
        <v>24791.424208040498</v>
      </c>
      <c r="N84">
        <v>23373.389843749999</v>
      </c>
      <c r="O84">
        <v>21955.3554794595</v>
      </c>
      <c r="P84">
        <v>97.140211411935923</v>
      </c>
      <c r="Q84">
        <v>89.398736639449851</v>
      </c>
      <c r="R84">
        <v>-2.8597885880640805</v>
      </c>
    </row>
    <row r="85" spans="1:18" x14ac:dyDescent="0.3">
      <c r="A85" s="21">
        <v>45800</v>
      </c>
      <c r="B85">
        <v>25005.349609375</v>
      </c>
      <c r="C85">
        <v>25062.94921875</v>
      </c>
      <c r="D85">
        <v>24462.400390625</v>
      </c>
      <c r="E85">
        <v>24853.150390625</v>
      </c>
      <c r="F85">
        <v>1676600</v>
      </c>
      <c r="G85">
        <v>23951.410486253557</v>
      </c>
      <c r="H85">
        <v>23763.914247888151</v>
      </c>
      <c r="I85">
        <v>60.149441558289794</v>
      </c>
      <c r="J85">
        <v>8.3905945053806885</v>
      </c>
      <c r="K85">
        <v>187.49623836540559</v>
      </c>
      <c r="L85">
        <v>-55.498838913635296</v>
      </c>
      <c r="M85">
        <v>24958.636278118218</v>
      </c>
      <c r="N85">
        <v>23415.809863281251</v>
      </c>
      <c r="O85">
        <v>21872.983448444284</v>
      </c>
      <c r="P85">
        <v>92.198907672181193</v>
      </c>
      <c r="Q85">
        <v>89.638543230991061</v>
      </c>
      <c r="R85">
        <v>-7.8010923278188011</v>
      </c>
    </row>
    <row r="86" spans="1:18" x14ac:dyDescent="0.3">
      <c r="A86" s="21">
        <v>45807</v>
      </c>
      <c r="B86">
        <v>24919.349609375</v>
      </c>
      <c r="C86">
        <v>25079.19921875</v>
      </c>
      <c r="D86">
        <v>24677.30078125</v>
      </c>
      <c r="E86">
        <v>24750.69921875</v>
      </c>
      <c r="F86">
        <v>2712200</v>
      </c>
      <c r="G86">
        <v>24074.378082537783</v>
      </c>
      <c r="H86">
        <v>23837.123448070255</v>
      </c>
      <c r="I86">
        <v>59.036198324657107</v>
      </c>
      <c r="J86">
        <v>8.5752209591551285</v>
      </c>
      <c r="K86">
        <v>237.25463446752838</v>
      </c>
      <c r="L86">
        <v>3.051856186329132</v>
      </c>
      <c r="M86">
        <v>25136.183854816249</v>
      </c>
      <c r="N86">
        <v>23481.769824218751</v>
      </c>
      <c r="O86">
        <v>21827.355793621253</v>
      </c>
      <c r="P86">
        <v>89.161156864459741</v>
      </c>
      <c r="Q86">
        <v>92.833425316192276</v>
      </c>
      <c r="R86">
        <v>-10.838843135540266</v>
      </c>
    </row>
    <row r="87" spans="1:18" x14ac:dyDescent="0.3">
      <c r="A87" s="21">
        <v>45814</v>
      </c>
      <c r="B87">
        <v>24669.69921875</v>
      </c>
      <c r="C87">
        <v>25029.5</v>
      </c>
      <c r="D87">
        <v>24502.150390625</v>
      </c>
      <c r="E87">
        <v>25003.05078125</v>
      </c>
      <c r="F87">
        <v>1665300</v>
      </c>
      <c r="G87">
        <v>24217.250902723325</v>
      </c>
      <c r="H87">
        <v>23923.613158333348</v>
      </c>
      <c r="I87">
        <v>60.953179682891133</v>
      </c>
      <c r="J87">
        <v>13.009675449330782</v>
      </c>
      <c r="K87">
        <v>293.63774438997643</v>
      </c>
      <c r="L87">
        <v>61.16903416353405</v>
      </c>
      <c r="M87">
        <v>25353.298012143274</v>
      </c>
      <c r="N87">
        <v>23571.762402343749</v>
      </c>
      <c r="O87">
        <v>21790.226792544225</v>
      </c>
      <c r="P87">
        <v>96.643561885160224</v>
      </c>
      <c r="Q87">
        <v>92.667875473933705</v>
      </c>
      <c r="R87">
        <v>-3.3564381148397793</v>
      </c>
    </row>
    <row r="88" spans="1:18" x14ac:dyDescent="0.3">
      <c r="A88" s="21">
        <v>45821</v>
      </c>
      <c r="B88">
        <v>25160.099609375</v>
      </c>
      <c r="C88">
        <v>25222.400390625</v>
      </c>
      <c r="D88">
        <v>24473</v>
      </c>
      <c r="E88">
        <v>24718.599609375</v>
      </c>
      <c r="F88">
        <v>1534700</v>
      </c>
      <c r="G88">
        <v>24294.381517427188</v>
      </c>
      <c r="H88">
        <v>23982.579777766568</v>
      </c>
      <c r="I88">
        <v>57.676721615956367</v>
      </c>
      <c r="J88">
        <v>9.6046984120385694</v>
      </c>
      <c r="K88">
        <v>311.80173966061921</v>
      </c>
      <c r="L88">
        <v>111.29557549512135</v>
      </c>
      <c r="M88">
        <v>25490.063594371954</v>
      </c>
      <c r="N88">
        <v>23653.082421874999</v>
      </c>
      <c r="O88">
        <v>21816.101249378044</v>
      </c>
      <c r="P88">
        <v>85.517764103485447</v>
      </c>
      <c r="Q88">
        <v>90.4408276177018</v>
      </c>
      <c r="R88">
        <v>-14.482235896514553</v>
      </c>
    </row>
    <row r="89" spans="1:18" x14ac:dyDescent="0.3">
      <c r="A89" s="21">
        <v>45828</v>
      </c>
      <c r="B89">
        <v>24732.349609375</v>
      </c>
      <c r="C89">
        <v>25136.19921875</v>
      </c>
      <c r="D89">
        <v>24703.599609375</v>
      </c>
      <c r="E89">
        <v>25112.400390625</v>
      </c>
      <c r="F89">
        <v>1635100</v>
      </c>
      <c r="G89">
        <v>24420.230636210261</v>
      </c>
      <c r="H89">
        <v>24066.373790314636</v>
      </c>
      <c r="I89">
        <v>60.81694184097438</v>
      </c>
      <c r="J89">
        <v>12.122949594527643</v>
      </c>
      <c r="K89">
        <v>353.85684589562516</v>
      </c>
      <c r="L89">
        <v>159.80782975497684</v>
      </c>
      <c r="M89">
        <v>25680.421182494872</v>
      </c>
      <c r="N89">
        <v>23733.282421874999</v>
      </c>
      <c r="O89">
        <v>21786.143661255126</v>
      </c>
      <c r="P89">
        <v>96.83794466403161</v>
      </c>
      <c r="Q89">
        <v>92.999756884225761</v>
      </c>
      <c r="R89">
        <v>-3.1620553359683794</v>
      </c>
    </row>
    <row r="90" spans="1:18" x14ac:dyDescent="0.3">
      <c r="A90" s="21">
        <v>45835</v>
      </c>
      <c r="B90">
        <v>24939.75</v>
      </c>
      <c r="C90">
        <v>25654.19921875</v>
      </c>
      <c r="D90">
        <v>24824.849609375</v>
      </c>
      <c r="E90">
        <v>25637.80078125</v>
      </c>
      <c r="F90">
        <v>1952200</v>
      </c>
      <c r="G90">
        <v>24607.549197352313</v>
      </c>
      <c r="H90">
        <v>24182.909193196974</v>
      </c>
      <c r="I90">
        <v>64.591662695069544</v>
      </c>
      <c r="J90">
        <v>9.7959793081037425</v>
      </c>
      <c r="K90">
        <v>424.64000415533883</v>
      </c>
      <c r="L90">
        <v>212.77426479205641</v>
      </c>
      <c r="M90">
        <v>25959.248556608261</v>
      </c>
      <c r="N90">
        <v>23837.174999999999</v>
      </c>
      <c r="O90">
        <v>21715.101443391737</v>
      </c>
      <c r="P90">
        <v>99.580661482039005</v>
      </c>
      <c r="Q90">
        <v>93.978790083185345</v>
      </c>
      <c r="R90">
        <v>-0.41933851796098393</v>
      </c>
    </row>
    <row r="91" spans="1:18" x14ac:dyDescent="0.3">
      <c r="A91" s="21">
        <v>45842</v>
      </c>
      <c r="B91">
        <v>25661.650390625</v>
      </c>
      <c r="C91">
        <v>25669.349609375</v>
      </c>
      <c r="D91">
        <v>25331.650390625</v>
      </c>
      <c r="E91">
        <v>25461</v>
      </c>
      <c r="F91">
        <v>1328400</v>
      </c>
      <c r="G91">
        <v>24738.849366677769</v>
      </c>
      <c r="H91">
        <v>24277.683041922919</v>
      </c>
      <c r="I91">
        <v>62.412757403227936</v>
      </c>
      <c r="J91">
        <v>8.2555445744598508</v>
      </c>
      <c r="K91">
        <v>461.16632475484948</v>
      </c>
      <c r="L91">
        <v>262.45267690242349</v>
      </c>
      <c r="M91">
        <v>26158.597286984219</v>
      </c>
      <c r="N91">
        <v>23963.762500000001</v>
      </c>
      <c r="O91">
        <v>21768.927713015783</v>
      </c>
      <c r="P91">
        <v>94.69267517032695</v>
      </c>
      <c r="Q91">
        <v>97.037093772132536</v>
      </c>
      <c r="R91">
        <v>-5.3073248296730577</v>
      </c>
    </row>
    <row r="92" spans="1:18" x14ac:dyDescent="0.3">
      <c r="A92" s="21">
        <v>45849</v>
      </c>
      <c r="B92">
        <v>25450.44921875</v>
      </c>
      <c r="C92">
        <v>25548.69921875</v>
      </c>
      <c r="D92">
        <v>25129</v>
      </c>
      <c r="E92">
        <v>25149.849609375</v>
      </c>
      <c r="F92">
        <v>1115200</v>
      </c>
      <c r="G92">
        <v>24802.080191926227</v>
      </c>
      <c r="H92">
        <v>24342.351440743161</v>
      </c>
      <c r="I92">
        <v>58.662238368419843</v>
      </c>
      <c r="J92">
        <v>9.8033371995990706</v>
      </c>
      <c r="K92">
        <v>459.72875118306547</v>
      </c>
      <c r="L92">
        <v>301.90789183340382</v>
      </c>
      <c r="M92">
        <v>26265.036006810798</v>
      </c>
      <c r="N92">
        <v>24081.4599609375</v>
      </c>
      <c r="O92">
        <v>21897.883915064202</v>
      </c>
      <c r="P92">
        <v>86.766688657175919</v>
      </c>
      <c r="Q92">
        <v>93.680008436513958</v>
      </c>
      <c r="R92">
        <v>-13.233311342824077</v>
      </c>
    </row>
    <row r="93" spans="1:18" x14ac:dyDescent="0.3">
      <c r="A93" s="21">
        <v>45856</v>
      </c>
      <c r="B93">
        <v>25149.5</v>
      </c>
      <c r="C93">
        <v>25255.30078125</v>
      </c>
      <c r="D93">
        <v>24918.650390625</v>
      </c>
      <c r="E93">
        <v>24968.400390625</v>
      </c>
      <c r="F93">
        <v>1290000</v>
      </c>
      <c r="G93">
        <v>24827.667921199147</v>
      </c>
      <c r="H93">
        <v>24388.767617131438</v>
      </c>
      <c r="I93">
        <v>56.528908380631357</v>
      </c>
      <c r="J93">
        <v>9.3735674676841185</v>
      </c>
      <c r="K93">
        <v>438.90030406770893</v>
      </c>
      <c r="L93">
        <v>329.30637432184778</v>
      </c>
      <c r="M93">
        <v>26234.219148555487</v>
      </c>
      <c r="N93">
        <v>24223.64501953125</v>
      </c>
      <c r="O93">
        <v>22213.070890507013</v>
      </c>
      <c r="P93">
        <v>71.533318579894228</v>
      </c>
      <c r="Q93">
        <v>84.330894135799042</v>
      </c>
      <c r="R93">
        <v>-28.466681420105765</v>
      </c>
    </row>
    <row r="94" spans="1:18" x14ac:dyDescent="0.3">
      <c r="A94" s="21">
        <v>45863</v>
      </c>
      <c r="B94">
        <v>24999</v>
      </c>
      <c r="C94">
        <v>25246.25</v>
      </c>
      <c r="D94">
        <v>24806.349609375</v>
      </c>
      <c r="E94">
        <v>24837</v>
      </c>
      <c r="F94">
        <v>1677200</v>
      </c>
      <c r="G94">
        <v>24829.10362593372</v>
      </c>
      <c r="H94">
        <v>24421.99797665872</v>
      </c>
      <c r="I94">
        <v>54.969892522653232</v>
      </c>
      <c r="J94">
        <v>4.1311590319229818</v>
      </c>
      <c r="K94">
        <v>407.10564927499945</v>
      </c>
      <c r="L94">
        <v>344.86622933137039</v>
      </c>
      <c r="M94">
        <v>26203.005612327273</v>
      </c>
      <c r="N94">
        <v>24337.870019531249</v>
      </c>
      <c r="O94">
        <v>22472.734426735224</v>
      </c>
      <c r="P94">
        <v>54.304166380730166</v>
      </c>
      <c r="Q94">
        <v>70.868057872600104</v>
      </c>
      <c r="R94">
        <v>-45.695833619269834</v>
      </c>
    </row>
    <row r="95" spans="1:18" x14ac:dyDescent="0.3">
      <c r="A95" s="21">
        <v>45870</v>
      </c>
      <c r="B95">
        <v>24782.44921875</v>
      </c>
      <c r="C95">
        <v>24956.5</v>
      </c>
      <c r="D95">
        <v>24535.05078125</v>
      </c>
      <c r="E95">
        <v>24565.349609375</v>
      </c>
      <c r="F95">
        <v>1400400</v>
      </c>
      <c r="G95">
        <v>24788.526077662391</v>
      </c>
      <c r="H95">
        <v>24432.624895504672</v>
      </c>
      <c r="I95">
        <v>51.789918844151003</v>
      </c>
      <c r="J95">
        <v>2.1880791641503805</v>
      </c>
      <c r="K95">
        <v>355.90118215771872</v>
      </c>
      <c r="L95">
        <v>347.0732198987838</v>
      </c>
      <c r="M95">
        <v>26073.316904139061</v>
      </c>
      <c r="N95">
        <v>24446.277539062499</v>
      </c>
      <c r="O95">
        <v>22819.238173985937</v>
      </c>
      <c r="P95">
        <v>36.317475267659077</v>
      </c>
      <c r="Q95">
        <v>54.051653409427821</v>
      </c>
      <c r="R95">
        <v>-63.682524732340916</v>
      </c>
    </row>
    <row r="96" spans="1:18" x14ac:dyDescent="0.3">
      <c r="A96" s="21">
        <v>45877</v>
      </c>
      <c r="B96">
        <v>24596.05078125</v>
      </c>
      <c r="C96">
        <v>24736.25</v>
      </c>
      <c r="D96">
        <v>24337.5</v>
      </c>
      <c r="E96">
        <v>24363.30078125</v>
      </c>
      <c r="F96">
        <v>1665500</v>
      </c>
      <c r="G96">
        <v>24723.106791384234</v>
      </c>
      <c r="H96">
        <v>24427.486068858845</v>
      </c>
      <c r="I96">
        <v>49.496396856827275</v>
      </c>
      <c r="J96">
        <v>6.8188144728931199E-2</v>
      </c>
      <c r="K96">
        <v>295.62072252538928</v>
      </c>
      <c r="L96">
        <v>336.78272041610848</v>
      </c>
      <c r="M96">
        <v>26041.291703275892</v>
      </c>
      <c r="N96">
        <v>24496.922558593749</v>
      </c>
      <c r="O96">
        <v>22952.553413911606</v>
      </c>
      <c r="P96">
        <v>24.66260253739566</v>
      </c>
      <c r="Q96">
        <v>38.428081395261636</v>
      </c>
      <c r="R96">
        <v>-75.337397462604343</v>
      </c>
    </row>
    <row r="97" spans="1:18" x14ac:dyDescent="0.3">
      <c r="A97" s="21">
        <v>45884</v>
      </c>
      <c r="B97">
        <v>24371.5</v>
      </c>
      <c r="C97">
        <v>24702.599609375</v>
      </c>
      <c r="D97">
        <v>24347.44921875</v>
      </c>
      <c r="E97">
        <v>24631.30078125</v>
      </c>
      <c r="F97">
        <v>984300</v>
      </c>
      <c r="G97">
        <v>24708.982788015262</v>
      </c>
      <c r="H97">
        <v>24442.593545984382</v>
      </c>
      <c r="I97">
        <v>52.50111821852385</v>
      </c>
      <c r="J97">
        <v>2.5962211814811731</v>
      </c>
      <c r="K97">
        <v>266.38924203088027</v>
      </c>
      <c r="L97">
        <v>322.70402473031078</v>
      </c>
      <c r="M97">
        <v>26027.197468283455</v>
      </c>
      <c r="N97">
        <v>24552.520117187501</v>
      </c>
      <c r="O97">
        <v>23077.842766091548</v>
      </c>
      <c r="P97">
        <v>22.059606368610382</v>
      </c>
      <c r="Q97">
        <v>27.679894724555041</v>
      </c>
      <c r="R97">
        <v>-77.940393631389611</v>
      </c>
    </row>
    <row r="98" spans="1:18" x14ac:dyDescent="0.3">
      <c r="A98" s="21">
        <v>45891</v>
      </c>
      <c r="B98">
        <v>24938.19921875</v>
      </c>
      <c r="C98">
        <v>25153.650390625</v>
      </c>
      <c r="D98">
        <v>24852.849609375</v>
      </c>
      <c r="E98">
        <v>24870.099609375</v>
      </c>
      <c r="F98">
        <v>1339200</v>
      </c>
      <c r="G98">
        <v>24733.769993988972</v>
      </c>
      <c r="H98">
        <v>24474.280259110241</v>
      </c>
      <c r="I98">
        <v>55.066400332668934</v>
      </c>
      <c r="J98">
        <v>-0.59833079081583751</v>
      </c>
      <c r="K98">
        <v>259.48973487873081</v>
      </c>
      <c r="L98">
        <v>310.0611667537072</v>
      </c>
      <c r="M98">
        <v>25909.141399690863</v>
      </c>
      <c r="N98">
        <v>24650.802636718749</v>
      </c>
      <c r="O98">
        <v>23392.463873746634</v>
      </c>
      <c r="P98">
        <v>39.989470704949504</v>
      </c>
      <c r="Q98">
        <v>28.903893203651847</v>
      </c>
      <c r="R98">
        <v>-60.010529295050496</v>
      </c>
    </row>
    <row r="99" spans="1:18" x14ac:dyDescent="0.3">
      <c r="A99" s="21">
        <v>45898</v>
      </c>
      <c r="B99">
        <v>24949.150390625</v>
      </c>
      <c r="C99">
        <v>25021.55078125</v>
      </c>
      <c r="D99">
        <v>24404.69921875</v>
      </c>
      <c r="E99">
        <v>24426.849609375</v>
      </c>
      <c r="F99">
        <v>1615600</v>
      </c>
      <c r="G99">
        <v>24686.551468947036</v>
      </c>
      <c r="H99">
        <v>24470.764864527755</v>
      </c>
      <c r="I99">
        <v>49.700821821661904</v>
      </c>
      <c r="J99">
        <v>-1.7152786449592616</v>
      </c>
      <c r="K99">
        <v>215.7866044192815</v>
      </c>
      <c r="L99">
        <v>291.20625427932049</v>
      </c>
      <c r="M99">
        <v>25662.388773557032</v>
      </c>
      <c r="N99">
        <v>24730.717578125001</v>
      </c>
      <c r="O99">
        <v>23799.04638269297</v>
      </c>
      <c r="P99">
        <v>6.708686081826408</v>
      </c>
      <c r="Q99">
        <v>22.919254385128767</v>
      </c>
      <c r="R99">
        <v>-93.291313918173586</v>
      </c>
    </row>
    <row r="100" spans="1:18" x14ac:dyDescent="0.3">
      <c r="A100" s="21">
        <v>45905</v>
      </c>
      <c r="B100">
        <v>24432.69921875</v>
      </c>
      <c r="C100">
        <v>24980.75</v>
      </c>
      <c r="D100">
        <v>24432.69921875</v>
      </c>
      <c r="E100">
        <v>24741</v>
      </c>
      <c r="F100">
        <v>1365400</v>
      </c>
      <c r="G100">
        <v>24694.928166682399</v>
      </c>
      <c r="H100">
        <v>24490.792901623707</v>
      </c>
      <c r="I100">
        <v>53.182671651115314</v>
      </c>
      <c r="J100">
        <v>-3.9187655525518839E-2</v>
      </c>
      <c r="K100">
        <v>204.13526505869231</v>
      </c>
      <c r="L100">
        <v>273.79205642965212</v>
      </c>
      <c r="M100">
        <v>25610.063272159881</v>
      </c>
      <c r="N100">
        <v>24775.18505859375</v>
      </c>
      <c r="O100">
        <v>23940.306845027619</v>
      </c>
      <c r="P100">
        <v>30.296213413266031</v>
      </c>
      <c r="Q100">
        <v>25.664790066680649</v>
      </c>
      <c r="R100">
        <v>-69.703786586733969</v>
      </c>
    </row>
    <row r="101" spans="1:18" x14ac:dyDescent="0.3">
      <c r="A101" s="21">
        <v>45912</v>
      </c>
      <c r="B101">
        <v>24802.599609375</v>
      </c>
      <c r="C101">
        <v>25139.44921875</v>
      </c>
      <c r="D101">
        <v>24751.55078125</v>
      </c>
      <c r="E101">
        <v>25114</v>
      </c>
      <c r="F101">
        <v>1134500</v>
      </c>
      <c r="G101">
        <v>24759.400760658624</v>
      </c>
      <c r="H101">
        <v>24536.979066061078</v>
      </c>
      <c r="I101">
        <v>56.989630896823101</v>
      </c>
      <c r="J101">
        <v>0.44374272452065711</v>
      </c>
      <c r="K101">
        <v>222.42169459754587</v>
      </c>
      <c r="L101">
        <v>263.51798406061482</v>
      </c>
      <c r="M101">
        <v>25600.307415080926</v>
      </c>
      <c r="N101">
        <v>24828.917578125001</v>
      </c>
      <c r="O101">
        <v>24057.527741169077</v>
      </c>
      <c r="P101">
        <v>58.30237847683042</v>
      </c>
      <c r="Q101">
        <v>31.76909265730762</v>
      </c>
      <c r="R101">
        <v>-41.69762152316958</v>
      </c>
    </row>
    <row r="102" spans="1:18" x14ac:dyDescent="0.3">
      <c r="A102" s="21">
        <v>45919</v>
      </c>
      <c r="B102">
        <v>25118.900390625</v>
      </c>
      <c r="C102">
        <v>25448.94921875</v>
      </c>
      <c r="D102">
        <v>25048.75</v>
      </c>
      <c r="E102">
        <v>25327.05078125</v>
      </c>
      <c r="F102">
        <v>1347000</v>
      </c>
      <c r="G102">
        <v>24846.731537911306</v>
      </c>
      <c r="H102">
        <v>24595.529513544021</v>
      </c>
      <c r="I102">
        <v>59.03846505430414</v>
      </c>
      <c r="J102">
        <v>2.46151149939835</v>
      </c>
      <c r="K102">
        <v>251.20202436728505</v>
      </c>
      <c r="L102">
        <v>261.05479212144706</v>
      </c>
      <c r="M102">
        <v>25644.883794520305</v>
      </c>
      <c r="N102">
        <v>24877.935156250001</v>
      </c>
      <c r="O102">
        <v>24110.986517979698</v>
      </c>
      <c r="P102">
        <v>74.298987985165127</v>
      </c>
      <c r="Q102">
        <v>54.299193291753852</v>
      </c>
      <c r="R102">
        <v>-25.701012014834866</v>
      </c>
    </row>
    <row r="103" spans="1:18" x14ac:dyDescent="0.3">
      <c r="A103" s="21">
        <v>45926</v>
      </c>
      <c r="B103">
        <v>25238.099609375</v>
      </c>
      <c r="C103">
        <v>25331.69921875</v>
      </c>
      <c r="D103">
        <v>24629.44921875</v>
      </c>
      <c r="E103">
        <v>24654.69921875</v>
      </c>
      <c r="F103">
        <v>1432100</v>
      </c>
      <c r="G103">
        <v>24817.188102804732</v>
      </c>
      <c r="H103">
        <v>24599.914300319659</v>
      </c>
      <c r="I103">
        <v>50.81225041679464</v>
      </c>
      <c r="J103">
        <v>-1.8226102035465708</v>
      </c>
      <c r="K103">
        <v>217.27380248507325</v>
      </c>
      <c r="L103">
        <v>252.29859419274538</v>
      </c>
      <c r="M103">
        <v>25569.797001683612</v>
      </c>
      <c r="N103">
        <v>24910.270117187501</v>
      </c>
      <c r="O103">
        <v>24250.743232691391</v>
      </c>
      <c r="P103">
        <v>23.816444177871762</v>
      </c>
      <c r="Q103">
        <v>52.139270213289102</v>
      </c>
      <c r="R103">
        <v>-76.183555822128241</v>
      </c>
    </row>
    <row r="104" spans="1:18" x14ac:dyDescent="0.3">
      <c r="A104" s="21">
        <v>45933</v>
      </c>
      <c r="B104">
        <v>24728.55078125</v>
      </c>
      <c r="C104">
        <v>24904.80078125</v>
      </c>
      <c r="D104">
        <v>24587.69921875</v>
      </c>
      <c r="E104">
        <v>24894.25</v>
      </c>
      <c r="F104">
        <v>1372200</v>
      </c>
      <c r="G104">
        <v>24829.043779768112</v>
      </c>
      <c r="H104">
        <v>24621.725445454485</v>
      </c>
      <c r="I104">
        <v>53.308503581758373</v>
      </c>
      <c r="J104">
        <v>-2.9002128052800447</v>
      </c>
      <c r="K104">
        <v>207.31833431362611</v>
      </c>
      <c r="L104">
        <v>243.3025422157487</v>
      </c>
      <c r="M104">
        <v>25561.516827327388</v>
      </c>
      <c r="N104">
        <v>24903.992578124999</v>
      </c>
      <c r="O104">
        <v>24246.468328922609</v>
      </c>
      <c r="P104">
        <v>41.802767826111186</v>
      </c>
      <c r="Q104">
        <v>46.6393999963827</v>
      </c>
      <c r="R104">
        <v>-58.197232173888814</v>
      </c>
    </row>
    <row r="105" spans="1:18" x14ac:dyDescent="0.3">
      <c r="A105" s="21">
        <v>45940</v>
      </c>
      <c r="B105">
        <v>24916.55078125</v>
      </c>
      <c r="C105">
        <v>25330.75</v>
      </c>
      <c r="D105">
        <v>24881.650390625</v>
      </c>
      <c r="E105">
        <v>25285.349609375</v>
      </c>
      <c r="F105">
        <v>1303400</v>
      </c>
      <c r="G105">
        <v>24899.244678994583</v>
      </c>
      <c r="H105">
        <v>24670.900536843586</v>
      </c>
      <c r="I105">
        <v>57.133444544614193</v>
      </c>
      <c r="J105">
        <v>-0.68988017212600061</v>
      </c>
      <c r="K105">
        <v>228.34414215099605</v>
      </c>
      <c r="L105">
        <v>240.31086220248613</v>
      </c>
      <c r="M105">
        <v>25604.163649197792</v>
      </c>
      <c r="N105">
        <v>24925.6025390625</v>
      </c>
      <c r="O105">
        <v>24247.041428927208</v>
      </c>
      <c r="P105">
        <v>78.257118622749275</v>
      </c>
      <c r="Q105">
        <v>47.958776875577406</v>
      </c>
      <c r="R105">
        <v>-21.742881377250722</v>
      </c>
    </row>
    <row r="106" spans="1:18" x14ac:dyDescent="0.3">
      <c r="A106" s="21">
        <v>45947</v>
      </c>
      <c r="B106">
        <v>25177.30078125</v>
      </c>
      <c r="C106">
        <v>25781.5</v>
      </c>
      <c r="D106">
        <v>25060.55078125</v>
      </c>
      <c r="E106">
        <v>25709.849609375</v>
      </c>
      <c r="F106">
        <v>1611200</v>
      </c>
      <c r="G106">
        <v>25023.953133375595</v>
      </c>
      <c r="H106">
        <v>24747.885451197679</v>
      </c>
      <c r="I106">
        <v>60.879438079252225</v>
      </c>
      <c r="J106">
        <v>2.2266534738691002</v>
      </c>
      <c r="K106">
        <v>276.06768217791614</v>
      </c>
      <c r="L106">
        <v>247.46222619816882</v>
      </c>
      <c r="M106">
        <v>25731.058493977067</v>
      </c>
      <c r="N106">
        <v>24973.56005859375</v>
      </c>
      <c r="O106">
        <v>24216.061623210433</v>
      </c>
      <c r="P106">
        <v>95.03806159106648</v>
      </c>
      <c r="Q106">
        <v>71.699316013308987</v>
      </c>
      <c r="R106">
        <v>-4.9619384089335181</v>
      </c>
    </row>
    <row r="107" spans="1:18" x14ac:dyDescent="0.3">
      <c r="A107" s="21">
        <v>45954</v>
      </c>
      <c r="B107">
        <v>25824.599609375</v>
      </c>
      <c r="C107">
        <v>26104.19921875</v>
      </c>
      <c r="D107">
        <v>25718.19921875</v>
      </c>
      <c r="E107">
        <v>25795.150390625</v>
      </c>
      <c r="F107">
        <v>1076900</v>
      </c>
      <c r="G107">
        <v>25142.598868120556</v>
      </c>
      <c r="H107">
        <v>24825.484640276016</v>
      </c>
      <c r="I107">
        <v>61.605506218547795</v>
      </c>
      <c r="J107">
        <v>3.3111852864648128</v>
      </c>
      <c r="K107">
        <v>317.11422784454044</v>
      </c>
      <c r="L107">
        <v>261.39262652837306</v>
      </c>
      <c r="M107">
        <v>25855.259959271018</v>
      </c>
      <c r="N107">
        <v>25013.1650390625</v>
      </c>
      <c r="O107">
        <v>24171.070118853982</v>
      </c>
      <c r="P107">
        <v>82.506992427173728</v>
      </c>
      <c r="Q107">
        <v>85.267390880329827</v>
      </c>
      <c r="R107">
        <v>-17.493007572826265</v>
      </c>
    </row>
    <row r="108" spans="1:18" x14ac:dyDescent="0.3">
      <c r="A108" s="21">
        <v>45961</v>
      </c>
      <c r="B108">
        <v>25843.19921875</v>
      </c>
      <c r="C108">
        <v>26097.849609375</v>
      </c>
      <c r="D108">
        <v>25711.19921875</v>
      </c>
      <c r="E108">
        <v>25722.099609375</v>
      </c>
      <c r="F108">
        <v>1575200</v>
      </c>
      <c r="G108">
        <v>25231.752830132282</v>
      </c>
      <c r="H108">
        <v>24891.919595656047</v>
      </c>
      <c r="I108">
        <v>60.568748129464765</v>
      </c>
      <c r="J108">
        <v>3.5636333267906828</v>
      </c>
      <c r="K108">
        <v>339.83323447623479</v>
      </c>
      <c r="L108">
        <v>277.08074811878311</v>
      </c>
      <c r="M108">
        <v>25949.942914580166</v>
      </c>
      <c r="N108">
        <v>25063.340039062499</v>
      </c>
      <c r="O108">
        <v>24176.737163544833</v>
      </c>
      <c r="P108">
        <v>78.372118733071687</v>
      </c>
      <c r="Q108">
        <v>85.305724250437294</v>
      </c>
      <c r="R108">
        <v>-21.627881266928306</v>
      </c>
    </row>
    <row r="109" spans="1:18" x14ac:dyDescent="0.3">
      <c r="A109" s="21">
        <v>45968</v>
      </c>
      <c r="B109">
        <v>25696.849609375</v>
      </c>
      <c r="C109">
        <v>25803.099609375</v>
      </c>
      <c r="D109">
        <v>25318.44921875</v>
      </c>
      <c r="E109">
        <v>25492.30078125</v>
      </c>
      <c r="F109">
        <v>1005900</v>
      </c>
      <c r="G109">
        <v>25271.837130996155</v>
      </c>
      <c r="H109">
        <v>24936.404075653998</v>
      </c>
      <c r="I109">
        <v>57.301860096192378</v>
      </c>
      <c r="J109">
        <v>3.7734092394974272</v>
      </c>
      <c r="K109">
        <v>335.43305534215688</v>
      </c>
      <c r="L109">
        <v>288.75120956395642</v>
      </c>
      <c r="M109">
        <v>25989.405683658708</v>
      </c>
      <c r="N109">
        <v>25082.335058593751</v>
      </c>
      <c r="O109">
        <v>24175.264433528795</v>
      </c>
      <c r="P109">
        <v>65.364877563429332</v>
      </c>
      <c r="Q109">
        <v>75.414662907891582</v>
      </c>
      <c r="R109">
        <v>-34.635122436570668</v>
      </c>
    </row>
    <row r="110" spans="1:18" x14ac:dyDescent="0.3">
      <c r="A110" s="21">
        <v>45975</v>
      </c>
      <c r="B110">
        <v>25503.5</v>
      </c>
      <c r="C110">
        <v>26010.69921875</v>
      </c>
      <c r="D110">
        <v>25449.25</v>
      </c>
      <c r="E110">
        <v>25910.05078125</v>
      </c>
      <c r="F110">
        <v>1758000</v>
      </c>
      <c r="G110">
        <v>25370.023847853929</v>
      </c>
      <c r="H110">
        <v>25008.543771602232</v>
      </c>
      <c r="I110">
        <v>61.3799077099493</v>
      </c>
      <c r="J110">
        <v>6.3486881924898153</v>
      </c>
      <c r="K110">
        <v>361.48007625169703</v>
      </c>
      <c r="L110">
        <v>303.29698290200162</v>
      </c>
      <c r="M110">
        <v>26045.302626097451</v>
      </c>
      <c r="N110">
        <v>25095.947558593751</v>
      </c>
      <c r="O110">
        <v>24146.59249109005</v>
      </c>
      <c r="P110">
        <v>88.948431051657892</v>
      </c>
      <c r="Q110">
        <v>77.56180911605297</v>
      </c>
      <c r="R110">
        <v>-11.05156894834211</v>
      </c>
    </row>
    <row r="111" spans="1:18" x14ac:dyDescent="0.3">
      <c r="A111" s="21">
        <v>45982</v>
      </c>
      <c r="B111">
        <v>25948.19921875</v>
      </c>
      <c r="C111">
        <v>26246.650390625</v>
      </c>
      <c r="D111">
        <v>25856.19921875</v>
      </c>
      <c r="E111">
        <v>26068.150390625</v>
      </c>
      <c r="F111">
        <v>1287900</v>
      </c>
      <c r="G111">
        <v>25477.427932684561</v>
      </c>
      <c r="H111">
        <v>25087.051004163823</v>
      </c>
      <c r="I111">
        <v>62.826915781217544</v>
      </c>
      <c r="J111">
        <v>5.8334296760679694</v>
      </c>
      <c r="K111">
        <v>390.37692852073815</v>
      </c>
      <c r="L111">
        <v>320.71297202622509</v>
      </c>
      <c r="M111">
        <v>26159.902774647322</v>
      </c>
      <c r="N111">
        <v>25126.305078124999</v>
      </c>
      <c r="O111">
        <v>24092.707381602675</v>
      </c>
      <c r="P111">
        <v>90.309189368016888</v>
      </c>
      <c r="Q111">
        <v>81.540832661034699</v>
      </c>
      <c r="R111">
        <v>-9.6908106319831102</v>
      </c>
    </row>
    <row r="112" spans="1:18" x14ac:dyDescent="0.3">
      <c r="A112" s="21">
        <v>45989</v>
      </c>
      <c r="B112">
        <v>26122.80078125</v>
      </c>
      <c r="C112">
        <v>26310.44921875</v>
      </c>
      <c r="D112">
        <v>25842.94921875</v>
      </c>
      <c r="E112">
        <v>26202.94921875</v>
      </c>
      <c r="F112">
        <v>1443300</v>
      </c>
      <c r="G112">
        <v>25589.046593246494</v>
      </c>
      <c r="H112">
        <v>25169.727539983502</v>
      </c>
      <c r="I112">
        <v>64.063251536225579</v>
      </c>
      <c r="J112">
        <v>5.3592451590848134</v>
      </c>
      <c r="K112">
        <v>419.31905326299238</v>
      </c>
      <c r="L112">
        <v>340.4341882740099</v>
      </c>
      <c r="M112">
        <v>26319.384472937105</v>
      </c>
      <c r="N112">
        <v>25178.960058593751</v>
      </c>
      <c r="O112">
        <v>24038.535644250398</v>
      </c>
      <c r="P112">
        <v>94.359176177357995</v>
      </c>
      <c r="Q112">
        <v>91.205598865677587</v>
      </c>
      <c r="R112">
        <v>-5.6408238226420044</v>
      </c>
    </row>
    <row r="113" spans="1:18" x14ac:dyDescent="0.3">
      <c r="A113" s="21">
        <v>45996</v>
      </c>
      <c r="B113">
        <v>26325.80078125</v>
      </c>
      <c r="C113">
        <v>26325.80078125</v>
      </c>
      <c r="D113">
        <v>25891</v>
      </c>
      <c r="E113">
        <v>26186.44921875</v>
      </c>
      <c r="F113">
        <v>1231700</v>
      </c>
      <c r="G113">
        <v>25680.954690291066</v>
      </c>
      <c r="H113">
        <v>25245.054943355728</v>
      </c>
      <c r="I113">
        <v>63.783611435444378</v>
      </c>
      <c r="J113">
        <v>7.2035470701865112</v>
      </c>
      <c r="K113">
        <v>435.89974693533804</v>
      </c>
      <c r="L113">
        <v>359.52730000660961</v>
      </c>
      <c r="M113">
        <v>26460.234673570252</v>
      </c>
      <c r="N113">
        <v>25239.862499999999</v>
      </c>
      <c r="O113">
        <v>24019.490326429746</v>
      </c>
      <c r="P113">
        <v>92.638981169294766</v>
      </c>
      <c r="Q113">
        <v>92.435782238223211</v>
      </c>
      <c r="R113">
        <v>-7.3610188307052331</v>
      </c>
    </row>
    <row r="114" spans="1:18" x14ac:dyDescent="0.3">
      <c r="A114" s="21">
        <v>46003</v>
      </c>
      <c r="B114">
        <v>26159.80078125</v>
      </c>
      <c r="C114">
        <v>26178.69921875</v>
      </c>
      <c r="D114">
        <v>25693.25</v>
      </c>
      <c r="E114">
        <v>26046.94921875</v>
      </c>
      <c r="F114">
        <v>1227000</v>
      </c>
      <c r="G114">
        <v>25737.261541244796</v>
      </c>
      <c r="H114">
        <v>25304.465244405634</v>
      </c>
      <c r="I114">
        <v>61.345529273531341</v>
      </c>
      <c r="J114">
        <v>5.2784819479810841</v>
      </c>
      <c r="K114">
        <v>432.7962968391621</v>
      </c>
      <c r="L114">
        <v>374.18109937332525</v>
      </c>
      <c r="M114">
        <v>26556.092590180855</v>
      </c>
      <c r="N114">
        <v>25300.359960937501</v>
      </c>
      <c r="O114">
        <v>24044.627331694148</v>
      </c>
      <c r="P114">
        <v>83.956543822507484</v>
      </c>
      <c r="Q114">
        <v>90.318233723053424</v>
      </c>
      <c r="R114">
        <v>-16.043456177492505</v>
      </c>
    </row>
    <row r="115" spans="1:18" x14ac:dyDescent="0.3">
      <c r="A115" s="21">
        <v>46010</v>
      </c>
      <c r="B115">
        <v>25930.05078125</v>
      </c>
      <c r="C115">
        <v>26047.150390625</v>
      </c>
      <c r="D115">
        <v>25726.30078125</v>
      </c>
      <c r="E115">
        <v>25966.400390625</v>
      </c>
      <c r="F115">
        <v>1233000</v>
      </c>
      <c r="G115">
        <v>25772.513672142013</v>
      </c>
      <c r="H115">
        <v>25353.505674741424</v>
      </c>
      <c r="I115">
        <v>59.921267157642205</v>
      </c>
      <c r="J115">
        <v>3.3941243554391987</v>
      </c>
      <c r="K115">
        <v>419.00799740058937</v>
      </c>
      <c r="L115">
        <v>383.14647897887846</v>
      </c>
      <c r="M115">
        <v>26609.710140150113</v>
      </c>
      <c r="N115">
        <v>25370.412499999999</v>
      </c>
      <c r="O115">
        <v>24131.114859849884</v>
      </c>
      <c r="P115">
        <v>79.322244546627303</v>
      </c>
      <c r="Q115">
        <v>85.305923179476522</v>
      </c>
      <c r="R115">
        <v>-20.677755453372708</v>
      </c>
    </row>
    <row r="116" spans="1:18" x14ac:dyDescent="0.3">
      <c r="A116" s="21">
        <v>46017</v>
      </c>
      <c r="B116">
        <v>26055.849609375</v>
      </c>
      <c r="C116">
        <v>26236.400390625</v>
      </c>
      <c r="D116">
        <v>26008.599609375</v>
      </c>
      <c r="E116">
        <v>26042.30078125</v>
      </c>
      <c r="F116">
        <v>800600</v>
      </c>
      <c r="G116">
        <v>25814.019381458049</v>
      </c>
      <c r="H116">
        <v>25404.535432451001</v>
      </c>
      <c r="I116">
        <v>60.843789986253434</v>
      </c>
      <c r="J116">
        <v>2.8240556161774233</v>
      </c>
      <c r="K116">
        <v>409.48394900704807</v>
      </c>
      <c r="L116">
        <v>388.41397298455962</v>
      </c>
      <c r="M116">
        <v>26632.365836839646</v>
      </c>
      <c r="N116">
        <v>25454.362499999999</v>
      </c>
      <c r="O116">
        <v>24276.359163160352</v>
      </c>
      <c r="P116">
        <v>83.689100446338273</v>
      </c>
      <c r="Q116">
        <v>82.322629605157701</v>
      </c>
      <c r="R116">
        <v>-16.310899553661727</v>
      </c>
    </row>
    <row r="117" spans="1:18" x14ac:dyDescent="0.3">
      <c r="A117" s="21">
        <v>46024</v>
      </c>
      <c r="B117">
        <v>26063.349609375</v>
      </c>
      <c r="C117">
        <v>26340</v>
      </c>
      <c r="D117">
        <v>25878</v>
      </c>
      <c r="E117">
        <v>26328.55078125</v>
      </c>
      <c r="F117">
        <v>1660600</v>
      </c>
      <c r="G117">
        <v>25893.178058708185</v>
      </c>
      <c r="H117">
        <v>25472.990823996453</v>
      </c>
      <c r="I117">
        <v>64.191412625610695</v>
      </c>
      <c r="J117">
        <v>6.7891785969428131</v>
      </c>
      <c r="K117">
        <v>420.18723471173143</v>
      </c>
      <c r="L117">
        <v>394.76862533003953</v>
      </c>
      <c r="M117">
        <v>26712.100730187947</v>
      </c>
      <c r="N117">
        <v>25539.224999999999</v>
      </c>
      <c r="O117">
        <v>24366.34926981205</v>
      </c>
      <c r="P117">
        <v>99.346617950952876</v>
      </c>
      <c r="Q117">
        <v>87.452654314639474</v>
      </c>
      <c r="R117">
        <v>-0.65338204904712327</v>
      </c>
    </row>
    <row r="118" spans="1:18" x14ac:dyDescent="0.3">
      <c r="A118" s="21">
        <v>46031</v>
      </c>
      <c r="B118">
        <v>26333.69921875</v>
      </c>
      <c r="C118">
        <v>26373.19921875</v>
      </c>
      <c r="D118">
        <v>25623</v>
      </c>
      <c r="E118">
        <v>25683.30078125</v>
      </c>
      <c r="F118">
        <v>1737300</v>
      </c>
      <c r="G118">
        <v>25860.889246667615</v>
      </c>
      <c r="H118">
        <v>25488.571406765463</v>
      </c>
      <c r="I118">
        <v>53.158803210648642</v>
      </c>
      <c r="J118">
        <v>3.1696105777438532</v>
      </c>
      <c r="K118">
        <v>372.31783990215263</v>
      </c>
      <c r="L118">
        <v>390.27846824443645</v>
      </c>
      <c r="M118">
        <v>26710.720079160914</v>
      </c>
      <c r="N118">
        <v>25579.885058593751</v>
      </c>
      <c r="O118">
        <v>24449.050038026588</v>
      </c>
      <c r="P118">
        <v>53.746171463440504</v>
      </c>
      <c r="Q118">
        <v>78.927296620243879</v>
      </c>
      <c r="R118">
        <v>-46.253828536559496</v>
      </c>
    </row>
    <row r="119" spans="1:18" x14ac:dyDescent="0.3">
      <c r="A119" s="21">
        <v>46038</v>
      </c>
      <c r="B119">
        <v>25669.05078125</v>
      </c>
      <c r="C119">
        <v>25899.80078125</v>
      </c>
      <c r="D119">
        <v>25473.400390625</v>
      </c>
      <c r="E119">
        <v>25694.349609375</v>
      </c>
      <c r="F119">
        <v>1442400</v>
      </c>
      <c r="G119">
        <v>25835.267763924003</v>
      </c>
      <c r="H119">
        <v>25503.816109596126</v>
      </c>
      <c r="I119">
        <v>53.306791692020056</v>
      </c>
      <c r="J119">
        <v>1.6175374527878983</v>
      </c>
      <c r="K119">
        <v>331.45165432787689</v>
      </c>
      <c r="L119">
        <v>378.51310546107061</v>
      </c>
      <c r="M119">
        <v>26635.601874862714</v>
      </c>
      <c r="N119">
        <v>25643.260058593751</v>
      </c>
      <c r="O119">
        <v>24650.918242324788</v>
      </c>
      <c r="P119">
        <v>48.283973836292326</v>
      </c>
      <c r="Q119">
        <v>67.125587750228576</v>
      </c>
      <c r="R119">
        <v>-51.716026163707674</v>
      </c>
    </row>
    <row r="120" spans="1:18" x14ac:dyDescent="0.3">
      <c r="A120" s="21">
        <v>46045</v>
      </c>
      <c r="B120">
        <v>25653.099609375</v>
      </c>
      <c r="C120">
        <v>25653.30078125</v>
      </c>
      <c r="D120">
        <v>24919.80078125</v>
      </c>
      <c r="E120">
        <v>25048.650390625</v>
      </c>
      <c r="F120">
        <v>2128800</v>
      </c>
      <c r="G120">
        <v>25714.249706160826</v>
      </c>
      <c r="H120">
        <v>25470.096294382696</v>
      </c>
      <c r="I120">
        <v>44.465396099250562</v>
      </c>
      <c r="J120">
        <v>-2.5717739652156402</v>
      </c>
      <c r="K120">
        <v>244.15341177813025</v>
      </c>
      <c r="L120">
        <v>351.64116672438399</v>
      </c>
      <c r="M120">
        <v>26600.341025474445</v>
      </c>
      <c r="N120">
        <v>25658.642578125</v>
      </c>
      <c r="O120">
        <v>24716.944130775555</v>
      </c>
      <c r="P120">
        <v>8.8654016717284385</v>
      </c>
      <c r="Q120">
        <v>36.965182323820422</v>
      </c>
      <c r="R120">
        <v>-91.134598328271565</v>
      </c>
    </row>
    <row r="121" spans="1:18" x14ac:dyDescent="0.3">
      <c r="A121" s="21">
        <v>46052</v>
      </c>
      <c r="B121">
        <v>25063.349609375</v>
      </c>
      <c r="C121">
        <v>25458.150390625</v>
      </c>
      <c r="D121">
        <v>24932.55078125</v>
      </c>
      <c r="E121">
        <v>25320.650390625</v>
      </c>
      <c r="F121">
        <v>2284400</v>
      </c>
      <c r="G121">
        <v>25653.695965168357</v>
      </c>
      <c r="H121">
        <v>25459.025061248274</v>
      </c>
      <c r="I121">
        <v>48.351540855567499</v>
      </c>
      <c r="J121">
        <v>-1.8394930551459465</v>
      </c>
      <c r="K121">
        <v>194.67090392008322</v>
      </c>
      <c r="L121">
        <v>320.24711416343166</v>
      </c>
      <c r="M121">
        <v>26589.81553745754</v>
      </c>
      <c r="N121">
        <v>25668.97509765625</v>
      </c>
      <c r="O121">
        <v>24748.13465785496</v>
      </c>
      <c r="P121">
        <v>27.580159647378181</v>
      </c>
      <c r="Q121">
        <v>28.243178385132982</v>
      </c>
      <c r="R121">
        <v>-72.419840352621819</v>
      </c>
    </row>
    <row r="122" spans="1:18" x14ac:dyDescent="0.3">
      <c r="A122" s="21">
        <v>46059</v>
      </c>
      <c r="B122">
        <v>24796.5</v>
      </c>
      <c r="C122">
        <v>26341.19921875</v>
      </c>
      <c r="D122">
        <v>24679.400390625</v>
      </c>
      <c r="E122">
        <v>25693.69921875</v>
      </c>
      <c r="F122">
        <v>2235600</v>
      </c>
      <c r="G122">
        <v>25659.850311885333</v>
      </c>
      <c r="H122">
        <v>25476.41002777352</v>
      </c>
      <c r="I122">
        <v>53.189680101641684</v>
      </c>
      <c r="J122">
        <v>-0.1104124121137029</v>
      </c>
      <c r="K122">
        <v>183.44028411181353</v>
      </c>
      <c r="L122">
        <v>292.88574815304378</v>
      </c>
      <c r="M122">
        <v>26593.975948352621</v>
      </c>
      <c r="N122">
        <v>25687.307519531249</v>
      </c>
      <c r="O122">
        <v>24780.639090709876</v>
      </c>
      <c r="P122">
        <v>59.883075326472365</v>
      </c>
      <c r="Q122">
        <v>32.109545548526334</v>
      </c>
      <c r="R122">
        <v>-40.116924673527635</v>
      </c>
    </row>
    <row r="123" spans="1:18" x14ac:dyDescent="0.3">
      <c r="A123" s="21">
        <v>46066</v>
      </c>
      <c r="B123">
        <v>25888.69921875</v>
      </c>
      <c r="C123">
        <v>26009.400390625</v>
      </c>
      <c r="D123">
        <v>25444.30078125</v>
      </c>
      <c r="E123">
        <v>25471.099609375</v>
      </c>
      <c r="F123">
        <v>2024600</v>
      </c>
      <c r="G123">
        <v>25630.811742220012</v>
      </c>
      <c r="H123">
        <v>25476.016627920602</v>
      </c>
      <c r="I123">
        <v>50.169688076324938</v>
      </c>
      <c r="J123">
        <v>-8.3166961102987269E-2</v>
      </c>
      <c r="K123">
        <v>154.79511429940976</v>
      </c>
      <c r="L123">
        <v>265.26762138226508</v>
      </c>
      <c r="M123">
        <v>26502.97784947334</v>
      </c>
      <c r="N123">
        <v>25728.127539062501</v>
      </c>
      <c r="O123">
        <v>24953.277228651663</v>
      </c>
      <c r="P123">
        <v>46.741041828821814</v>
      </c>
      <c r="Q123">
        <v>44.734758934224125</v>
      </c>
      <c r="R123">
        <v>-53.258958171178186</v>
      </c>
    </row>
    <row r="124" spans="1:18" x14ac:dyDescent="0.3">
      <c r="A124" s="21">
        <v>46073</v>
      </c>
      <c r="B124">
        <v>25423.599609375</v>
      </c>
      <c r="C124">
        <v>25885.30078125</v>
      </c>
      <c r="D124">
        <v>25372.69921875</v>
      </c>
      <c r="E124">
        <v>25571.25</v>
      </c>
      <c r="F124">
        <v>1524900</v>
      </c>
      <c r="G124">
        <v>25621.648397250177</v>
      </c>
      <c r="H124">
        <v>25483.071541698908</v>
      </c>
      <c r="I124">
        <v>51.503820315474357</v>
      </c>
      <c r="J124">
        <v>-1.307603694451942</v>
      </c>
      <c r="K124">
        <v>138.57685555126955</v>
      </c>
      <c r="L124">
        <v>239.92946821602786</v>
      </c>
      <c r="M124">
        <v>26436.039714695755</v>
      </c>
      <c r="N124">
        <v>25761.9775390625</v>
      </c>
      <c r="O124">
        <v>25087.915363429245</v>
      </c>
      <c r="P124">
        <v>52.653809564991782</v>
      </c>
      <c r="Q124">
        <v>53.092642240095323</v>
      </c>
      <c r="R124">
        <v>-47.346190435008218</v>
      </c>
    </row>
    <row r="125" spans="1:18" x14ac:dyDescent="0.3">
      <c r="A125" s="21">
        <v>46080</v>
      </c>
      <c r="B125">
        <v>25678.400390625</v>
      </c>
      <c r="C125">
        <v>25771.44921875</v>
      </c>
      <c r="D125">
        <v>25141.30078125</v>
      </c>
      <c r="E125">
        <v>25178.650390625</v>
      </c>
      <c r="F125">
        <v>2011100</v>
      </c>
      <c r="G125">
        <v>25553.494857688147</v>
      </c>
      <c r="H125">
        <v>25460.520080770304</v>
      </c>
      <c r="I125">
        <v>46.273594838349652</v>
      </c>
      <c r="J125">
        <v>-3.41220986786962</v>
      </c>
      <c r="K125">
        <v>92.974776917842973</v>
      </c>
      <c r="L125">
        <v>210.53852995635552</v>
      </c>
      <c r="M125">
        <v>26448.053990652686</v>
      </c>
      <c r="N125">
        <v>25756.642578125</v>
      </c>
      <c r="O125">
        <v>25065.231165597314</v>
      </c>
      <c r="P125">
        <v>29.475165037908269</v>
      </c>
      <c r="Q125">
        <v>42.956672143907291</v>
      </c>
      <c r="R125">
        <v>-70.524834962091731</v>
      </c>
    </row>
    <row r="126" spans="1:18" x14ac:dyDescent="0.3">
      <c r="A126" s="21">
        <v>46087</v>
      </c>
      <c r="B126">
        <v>24659.25</v>
      </c>
      <c r="C126">
        <v>24989.349609375</v>
      </c>
      <c r="D126">
        <v>24305.400390625</v>
      </c>
      <c r="E126">
        <v>24450.44921875</v>
      </c>
      <c r="F126">
        <v>2055900</v>
      </c>
      <c r="G126">
        <v>25383.795528449584</v>
      </c>
      <c r="H126">
        <v>25385.694652734641</v>
      </c>
      <c r="I126">
        <v>38.470080144599109</v>
      </c>
      <c r="J126">
        <v>-6.6881784388833854</v>
      </c>
      <c r="K126">
        <v>-1.8991242850570416</v>
      </c>
      <c r="L126">
        <v>168.05099910803216</v>
      </c>
      <c r="M126">
        <v>26599.255629209154</v>
      </c>
      <c r="N126">
        <v>25693.672558593749</v>
      </c>
      <c r="O126">
        <v>24788.089487978345</v>
      </c>
      <c r="P126">
        <v>7.0146489180731697</v>
      </c>
      <c r="Q126">
        <v>29.714541173657746</v>
      </c>
      <c r="R126">
        <v>-92.985351081926822</v>
      </c>
    </row>
    <row r="127" spans="1:18" x14ac:dyDescent="0.3">
      <c r="A127" s="21">
        <v>46094</v>
      </c>
      <c r="B127">
        <v>23868.05078125</v>
      </c>
      <c r="C127">
        <v>24303.80078125</v>
      </c>
      <c r="D127">
        <v>23112</v>
      </c>
      <c r="E127">
        <v>23151.099609375</v>
      </c>
      <c r="F127">
        <v>2399400</v>
      </c>
      <c r="G127">
        <v>25040.303848298812</v>
      </c>
      <c r="H127">
        <v>25220.158105820392</v>
      </c>
      <c r="I127">
        <v>29.054783847109434</v>
      </c>
      <c r="J127">
        <v>-11.591298934876715</v>
      </c>
      <c r="K127">
        <v>-179.85425752157971</v>
      </c>
      <c r="L127">
        <v>98.469947782056252</v>
      </c>
      <c r="M127">
        <v>27012.437938904815</v>
      </c>
      <c r="N127">
        <v>25561.470019531251</v>
      </c>
      <c r="O127">
        <v>24110.502100157686</v>
      </c>
      <c r="P127">
        <v>1.1989334828182212</v>
      </c>
      <c r="Q127">
        <v>12.562915812933221</v>
      </c>
      <c r="R127">
        <v>-98.801066517181781</v>
      </c>
    </row>
    <row r="128" spans="1:18" x14ac:dyDescent="0.3">
      <c r="A128" s="21">
        <v>46101</v>
      </c>
      <c r="B128">
        <v>23116.099609375</v>
      </c>
      <c r="C128">
        <v>23862.25</v>
      </c>
      <c r="D128">
        <v>22930.349609375</v>
      </c>
      <c r="E128">
        <v>23114.5</v>
      </c>
      <c r="F128">
        <v>2595400</v>
      </c>
      <c r="G128">
        <v>24744.026332961967</v>
      </c>
      <c r="H128">
        <v>25064.173844207831</v>
      </c>
      <c r="I128">
        <v>28.840666767812635</v>
      </c>
      <c r="J128">
        <v>-11.25832124953453</v>
      </c>
      <c r="K128">
        <v>-320.14751124586473</v>
      </c>
      <c r="L128">
        <v>14.746455976420533</v>
      </c>
      <c r="M128">
        <v>27244.612007336218</v>
      </c>
      <c r="N128">
        <v>25431.090039062499</v>
      </c>
      <c r="O128">
        <v>23617.56807078878</v>
      </c>
      <c r="P128">
        <v>5.3487782365965693</v>
      </c>
      <c r="Q128">
        <v>4.5207868791626558</v>
      </c>
      <c r="R128">
        <v>-94.651221763403427</v>
      </c>
    </row>
    <row r="129" spans="1:18" x14ac:dyDescent="0.3">
      <c r="A129" s="21">
        <v>46108</v>
      </c>
      <c r="B129">
        <v>22824.349609375</v>
      </c>
      <c r="C129">
        <v>23465.349609375</v>
      </c>
      <c r="D129">
        <v>22471.25</v>
      </c>
      <c r="E129">
        <v>22819.599609375</v>
      </c>
      <c r="F129">
        <v>2206400</v>
      </c>
      <c r="G129">
        <v>24447.960682998451</v>
      </c>
      <c r="H129">
        <v>24897.899623526711</v>
      </c>
      <c r="I129">
        <v>27.107251085596189</v>
      </c>
      <c r="J129">
        <v>-12.118740887882684</v>
      </c>
      <c r="K129">
        <v>-449.93894052825999</v>
      </c>
      <c r="L129">
        <v>-78.190623324561329</v>
      </c>
      <c r="M129">
        <v>27453.526607849733</v>
      </c>
      <c r="N129">
        <v>25297.454980468749</v>
      </c>
      <c r="O129">
        <v>23141.383353087764</v>
      </c>
      <c r="P129">
        <v>8.927579264770511</v>
      </c>
      <c r="Q129">
        <v>5.1584303280617689</v>
      </c>
      <c r="R129">
        <v>-91.072420735229485</v>
      </c>
    </row>
    <row r="130" spans="1:18" x14ac:dyDescent="0.3">
      <c r="A130" s="21">
        <v>46115</v>
      </c>
      <c r="B130">
        <v>22549.650390625</v>
      </c>
      <c r="C130">
        <v>22941.30078125</v>
      </c>
      <c r="D130">
        <v>22182.55078125</v>
      </c>
      <c r="E130">
        <v>22713.099609375</v>
      </c>
      <c r="F130">
        <v>1711700</v>
      </c>
      <c r="G130">
        <v>24181.05897922608</v>
      </c>
      <c r="H130">
        <v>24736.054057187837</v>
      </c>
      <c r="I130">
        <v>26.488085321440067</v>
      </c>
      <c r="J130">
        <v>-12.78382121395344</v>
      </c>
      <c r="K130">
        <v>-554.99507796175749</v>
      </c>
      <c r="L130">
        <v>-173.55151425203809</v>
      </c>
      <c r="M130">
        <v>27560.031493819013</v>
      </c>
      <c r="N130">
        <v>25137.607421875</v>
      </c>
      <c r="O130">
        <v>22715.183349930987</v>
      </c>
      <c r="P130">
        <v>12.660303913289075</v>
      </c>
      <c r="Q130">
        <v>8.9788871382187203</v>
      </c>
      <c r="R130">
        <v>-87.33969608671093</v>
      </c>
    </row>
    <row r="131" spans="1:18" x14ac:dyDescent="0.3">
      <c r="A131" s="21">
        <v>46122</v>
      </c>
      <c r="B131">
        <v>22780.30078125</v>
      </c>
      <c r="C131">
        <v>24074.05078125</v>
      </c>
      <c r="D131">
        <v>22542.94921875</v>
      </c>
      <c r="E131">
        <v>24050.599609375</v>
      </c>
      <c r="F131">
        <v>2490600</v>
      </c>
      <c r="G131">
        <v>24160.988306932519</v>
      </c>
      <c r="H131">
        <v>24685.277176215175</v>
      </c>
      <c r="I131">
        <v>43.837864005480604</v>
      </c>
      <c r="J131">
        <v>-8.6520188323363953</v>
      </c>
      <c r="K131">
        <v>-524.28886928265638</v>
      </c>
      <c r="L131">
        <v>-243.69898525818385</v>
      </c>
      <c r="M131">
        <v>27464.022398118406</v>
      </c>
      <c r="N131">
        <v>25036.729882812499</v>
      </c>
      <c r="O131">
        <v>22609.437367506591</v>
      </c>
      <c r="P131">
        <v>44.576605649110832</v>
      </c>
      <c r="Q131">
        <v>22.05482960905681</v>
      </c>
      <c r="R131">
        <v>-55.423394350889168</v>
      </c>
    </row>
    <row r="132" spans="1:18" x14ac:dyDescent="0.3">
      <c r="A132" s="21">
        <v>46129</v>
      </c>
      <c r="B132">
        <v>23589.599609375</v>
      </c>
      <c r="C132">
        <v>24400.94921875</v>
      </c>
      <c r="D132">
        <v>23555.599609375</v>
      </c>
      <c r="E132">
        <v>24353.55078125</v>
      </c>
      <c r="F132">
        <v>1955700</v>
      </c>
      <c r="G132">
        <v>24190.613302992329</v>
      </c>
      <c r="H132">
        <v>24660.703740522411</v>
      </c>
      <c r="I132">
        <v>46.895135714686376</v>
      </c>
      <c r="J132">
        <v>-5.1774887166013306</v>
      </c>
      <c r="K132">
        <v>-470.09043753008154</v>
      </c>
      <c r="L132">
        <v>-288.97727571257479</v>
      </c>
      <c r="M132">
        <v>27324.948050405979</v>
      </c>
      <c r="N132">
        <v>24944.259960937499</v>
      </c>
      <c r="O132">
        <v>22563.571871469019</v>
      </c>
      <c r="P132">
        <v>52.20446095955905</v>
      </c>
      <c r="Q132">
        <v>36.480456840652984</v>
      </c>
      <c r="R132">
        <v>-47.79553904044095</v>
      </c>
    </row>
    <row r="133" spans="1:18" x14ac:dyDescent="0.3">
      <c r="A133" s="21">
        <v>46136</v>
      </c>
      <c r="B133">
        <v>24391.5</v>
      </c>
      <c r="C133">
        <v>24601.69921875</v>
      </c>
      <c r="D133">
        <v>23813.650390625</v>
      </c>
      <c r="E133">
        <v>23897.94921875</v>
      </c>
      <c r="F133">
        <v>2188100</v>
      </c>
      <c r="G133">
        <v>24145.588059248636</v>
      </c>
      <c r="H133">
        <v>24604.201042067525</v>
      </c>
      <c r="I133">
        <v>43.095679814559283</v>
      </c>
      <c r="J133">
        <v>-6.9914219193528577</v>
      </c>
      <c r="K133">
        <v>-458.61298281888958</v>
      </c>
      <c r="L133">
        <v>-322.90441713384456</v>
      </c>
      <c r="M133">
        <v>27178.914527887442</v>
      </c>
      <c r="N133">
        <v>24829.8349609375</v>
      </c>
      <c r="O133">
        <v>22480.755393987558</v>
      </c>
      <c r="P133">
        <v>41.248940930703519</v>
      </c>
      <c r="Q133">
        <v>46.010002513124469</v>
      </c>
      <c r="R133">
        <v>-58.751059069296474</v>
      </c>
    </row>
    <row r="134" spans="1:18" x14ac:dyDescent="0.3">
      <c r="A134" s="21">
        <v>46143</v>
      </c>
      <c r="B134">
        <v>23945.44921875</v>
      </c>
      <c r="C134">
        <v>24334.69921875</v>
      </c>
      <c r="D134">
        <v>23796.849609375</v>
      </c>
      <c r="E134">
        <v>23997.55078125</v>
      </c>
      <c r="F134">
        <v>2021000</v>
      </c>
      <c r="G134">
        <v>24122.813093396653</v>
      </c>
      <c r="H134">
        <v>24559.262245163824</v>
      </c>
      <c r="I134">
        <v>44.160799550912976</v>
      </c>
      <c r="J134">
        <v>-4.1962325034820891</v>
      </c>
      <c r="K134">
        <v>-436.44915176717041</v>
      </c>
      <c r="L134">
        <v>-345.61336406051339</v>
      </c>
      <c r="M134">
        <v>27031.259156592503</v>
      </c>
      <c r="N134">
        <v>24727.365039062501</v>
      </c>
      <c r="O134">
        <v>22423.470921532498</v>
      </c>
      <c r="P134">
        <v>43.643987398249507</v>
      </c>
      <c r="Q134">
        <v>45.699129762837366</v>
      </c>
      <c r="R134">
        <v>-56.356012601750493</v>
      </c>
    </row>
    <row r="135" spans="1:18" x14ac:dyDescent="0.3">
      <c r="A135" s="21">
        <v>46150</v>
      </c>
      <c r="B135">
        <v>24063.55078125</v>
      </c>
      <c r="C135">
        <v>24482.099609375</v>
      </c>
      <c r="D135">
        <v>23882.05078125</v>
      </c>
      <c r="E135">
        <v>24176.150390625</v>
      </c>
      <c r="F135">
        <v>1988100</v>
      </c>
      <c r="G135">
        <v>24131.018831433626</v>
      </c>
      <c r="H135">
        <v>24530.88257150611</v>
      </c>
      <c r="I135">
        <v>46.108717884992302</v>
      </c>
      <c r="J135">
        <v>-4.5200260749374443</v>
      </c>
      <c r="K135">
        <v>-399.86374007248378</v>
      </c>
      <c r="L135">
        <v>-356.46343926290893</v>
      </c>
      <c r="M135">
        <v>26877.262129056904</v>
      </c>
      <c r="N135">
        <v>24637.8525390625</v>
      </c>
      <c r="O135">
        <v>22398.442949068096</v>
      </c>
      <c r="P135">
        <v>47.938642550257654</v>
      </c>
      <c r="Q135">
        <v>44.277190293070227</v>
      </c>
      <c r="R135">
        <v>-52.061357449742353</v>
      </c>
    </row>
    <row r="136" spans="1:18" x14ac:dyDescent="0.3">
      <c r="A136" s="21">
        <v>46157</v>
      </c>
      <c r="B136">
        <v>23970.099609375</v>
      </c>
      <c r="C136">
        <v>23997.44921875</v>
      </c>
      <c r="D136">
        <v>23262.55078125</v>
      </c>
      <c r="E136">
        <v>23643.5</v>
      </c>
      <c r="F136">
        <v>2090600</v>
      </c>
      <c r="G136">
        <v>24056.015934275758</v>
      </c>
      <c r="H136">
        <v>24465.148346400634</v>
      </c>
      <c r="I136">
        <v>41.46313590993357</v>
      </c>
      <c r="J136">
        <v>-7.9793851453428104</v>
      </c>
      <c r="K136">
        <v>-409.13241212487628</v>
      </c>
      <c r="L136">
        <v>-366.99723383530346</v>
      </c>
      <c r="M136">
        <v>26696.738237743535</v>
      </c>
      <c r="N136">
        <v>24517.912499999999</v>
      </c>
      <c r="O136">
        <v>22339.086762256462</v>
      </c>
      <c r="P136">
        <v>38.176290366127077</v>
      </c>
      <c r="Q136">
        <v>43.25297343821142</v>
      </c>
      <c r="R136">
        <v>-61.823709633872916</v>
      </c>
    </row>
    <row r="137" spans="1:18" x14ac:dyDescent="0.3">
      <c r="A137" s="21">
        <v>46164</v>
      </c>
      <c r="B137">
        <v>23482.19921875</v>
      </c>
      <c r="C137">
        <v>23859.900390625</v>
      </c>
      <c r="D137">
        <v>23317.099609375</v>
      </c>
      <c r="E137">
        <v>23719.30078125</v>
      </c>
      <c r="F137">
        <v>1862400</v>
      </c>
      <c r="G137">
        <v>24004.213603032709</v>
      </c>
      <c r="H137">
        <v>24409.898679888294</v>
      </c>
      <c r="I137">
        <v>42.353254741167653</v>
      </c>
      <c r="J137">
        <v>-6.8775940379119938</v>
      </c>
      <c r="K137">
        <v>-405.68507685558507</v>
      </c>
      <c r="L137">
        <v>-374.73480243936041</v>
      </c>
      <c r="M137">
        <v>26417.153011310129</v>
      </c>
      <c r="N137">
        <v>24387.45</v>
      </c>
      <c r="O137">
        <v>22357.746988689873</v>
      </c>
      <c r="P137">
        <v>41.502937006279119</v>
      </c>
      <c r="Q137">
        <v>42.539289974221283</v>
      </c>
      <c r="R137">
        <v>-58.497062993720881</v>
      </c>
    </row>
    <row r="138" spans="1:18" x14ac:dyDescent="0.3">
      <c r="A138" s="21">
        <v>46171</v>
      </c>
      <c r="B138">
        <v>23940.25</v>
      </c>
      <c r="C138">
        <v>24089.80078125</v>
      </c>
      <c r="D138">
        <v>23484.75</v>
      </c>
      <c r="E138">
        <v>23547.75</v>
      </c>
      <c r="F138">
        <v>2468700</v>
      </c>
      <c r="G138">
        <v>23933.988433325831</v>
      </c>
      <c r="H138">
        <v>24346.033996560102</v>
      </c>
      <c r="I138">
        <v>40.8396776580297</v>
      </c>
      <c r="J138">
        <v>-7.9131837512831815</v>
      </c>
      <c r="K138">
        <v>-412.04556323427096</v>
      </c>
      <c r="L138">
        <v>-382.19695459834304</v>
      </c>
      <c r="M138">
        <v>26247.041595734743</v>
      </c>
      <c r="N138">
        <v>24280.672460937501</v>
      </c>
      <c r="O138">
        <v>22314.30332614026</v>
      </c>
      <c r="P138">
        <v>38.039505506346607</v>
      </c>
      <c r="Q138">
        <v>39.239577626250934</v>
      </c>
      <c r="R138">
        <v>-61.960494493653385</v>
      </c>
    </row>
    <row r="139" spans="1:18" x14ac:dyDescent="0.3">
      <c r="A139" s="21">
        <v>46178</v>
      </c>
      <c r="B139">
        <v>23654.5</v>
      </c>
      <c r="C139">
        <v>23733.69921875</v>
      </c>
      <c r="D139">
        <v>23151.5</v>
      </c>
      <c r="E139">
        <v>23366.69921875</v>
      </c>
      <c r="F139">
        <v>2162400</v>
      </c>
      <c r="G139">
        <v>23846.713169534902</v>
      </c>
      <c r="H139">
        <v>24273.488767392631</v>
      </c>
      <c r="I139">
        <v>39.245629495607417</v>
      </c>
      <c r="J139">
        <v>-7.196379248943618</v>
      </c>
      <c r="K139">
        <v>-426.77559785772974</v>
      </c>
      <c r="L139">
        <v>-391.11268325022081</v>
      </c>
      <c r="M139">
        <v>26052.332769210901</v>
      </c>
      <c r="N139">
        <v>24164.289941406249</v>
      </c>
      <c r="O139">
        <v>22276.247113601596</v>
      </c>
      <c r="P139">
        <v>42.188575313430491</v>
      </c>
      <c r="Q139">
        <v>40.577005942018737</v>
      </c>
      <c r="R139">
        <v>-57.811424686569509</v>
      </c>
    </row>
    <row r="140" spans="1:18" x14ac:dyDescent="0.3">
      <c r="A140" s="21">
        <v>46185</v>
      </c>
      <c r="B140">
        <v>23080.69921875</v>
      </c>
      <c r="C140">
        <v>23645.349609375</v>
      </c>
      <c r="D140">
        <v>23070.150390625</v>
      </c>
      <c r="E140">
        <v>23622.900390625</v>
      </c>
      <c r="F140">
        <v>1873200</v>
      </c>
      <c r="G140">
        <v>23812.280434314645</v>
      </c>
      <c r="H140">
        <v>24225.295859516027</v>
      </c>
      <c r="I140">
        <v>42.656525877562828</v>
      </c>
      <c r="J140">
        <v>-3.3845955987196641</v>
      </c>
      <c r="K140">
        <v>-413.01542520138173</v>
      </c>
      <c r="L140">
        <v>-395.49323164045313</v>
      </c>
      <c r="M140">
        <v>25947.823939791611</v>
      </c>
      <c r="N140">
        <v>24093.00244140625</v>
      </c>
      <c r="O140">
        <v>22238.180943020889</v>
      </c>
      <c r="P140">
        <v>59.53952998698535</v>
      </c>
      <c r="Q140">
        <v>46.589203602254145</v>
      </c>
      <c r="R140">
        <v>-40.460470013014657</v>
      </c>
    </row>
    <row r="141" spans="1:18" x14ac:dyDescent="0.3">
      <c r="A141" s="21">
        <v>46192</v>
      </c>
      <c r="B141">
        <v>23984.849609375</v>
      </c>
      <c r="C141">
        <v>24189.25</v>
      </c>
      <c r="D141">
        <v>23817.80078125</v>
      </c>
      <c r="E141">
        <v>24013.099609375</v>
      </c>
      <c r="F141">
        <v>1866800</v>
      </c>
      <c r="G141">
        <v>23843.17569201878</v>
      </c>
      <c r="H141">
        <v>24209.57726353312</v>
      </c>
      <c r="I141">
        <v>47.491667454108423</v>
      </c>
      <c r="J141">
        <v>3.7233652592939315</v>
      </c>
      <c r="K141">
        <v>-366.40157151433959</v>
      </c>
      <c r="L141">
        <v>-389.67489961523023</v>
      </c>
      <c r="M141">
        <v>25790.129327405015</v>
      </c>
      <c r="N141">
        <v>24027.624902343749</v>
      </c>
      <c r="O141">
        <v>22265.120477282482</v>
      </c>
      <c r="P141">
        <v>75.669140419375353</v>
      </c>
      <c r="Q141">
        <v>59.132415239930403</v>
      </c>
      <c r="R141">
        <v>-24.33085958062464</v>
      </c>
    </row>
    <row r="142" spans="1:18" x14ac:dyDescent="0.3">
      <c r="A142" s="21">
        <v>46199</v>
      </c>
      <c r="B142">
        <v>24106.599609375</v>
      </c>
      <c r="C142">
        <v>24261.599609375</v>
      </c>
      <c r="D142">
        <v>23784.94921875</v>
      </c>
      <c r="E142">
        <v>24056</v>
      </c>
      <c r="F142">
        <v>1437300</v>
      </c>
      <c r="G142">
        <v>23875.917893248941</v>
      </c>
      <c r="H142">
        <v>24198.20093188353</v>
      </c>
      <c r="I142">
        <v>48.010704860494144</v>
      </c>
      <c r="J142">
        <v>4.0732008046896917</v>
      </c>
      <c r="K142">
        <v>-322.28303863458859</v>
      </c>
      <c r="L142">
        <v>-376.19652741910159</v>
      </c>
      <c r="M142">
        <v>25524.973757069383</v>
      </c>
      <c r="N142">
        <v>23945.739941406249</v>
      </c>
      <c r="O142">
        <v>22366.506125743115</v>
      </c>
      <c r="P142">
        <v>77.442507855618103</v>
      </c>
      <c r="Q142">
        <v>70.883726087326281</v>
      </c>
      <c r="R142">
        <v>-22.557492144381904</v>
      </c>
    </row>
    <row r="143" spans="1:18" x14ac:dyDescent="0.3">
      <c r="A143" s="21">
        <v>46206</v>
      </c>
      <c r="B143">
        <v>24061.75</v>
      </c>
      <c r="C143">
        <v>24378.150390625</v>
      </c>
      <c r="D143">
        <v>23829.19921875</v>
      </c>
      <c r="E143">
        <v>24270.849609375</v>
      </c>
      <c r="F143">
        <v>2089100</v>
      </c>
      <c r="G143">
        <v>23936.676618810376</v>
      </c>
      <c r="H143">
        <v>24203.582419669845</v>
      </c>
      <c r="I143">
        <v>50.642094487818738</v>
      </c>
      <c r="J143">
        <v>6.3596646078039942</v>
      </c>
      <c r="K143">
        <v>-266.90580085946931</v>
      </c>
      <c r="L143">
        <v>-354.33838210717465</v>
      </c>
      <c r="M143">
        <v>25303.9061502068</v>
      </c>
      <c r="N143">
        <v>23885.727441406249</v>
      </c>
      <c r="O143">
        <v>22467.548732605697</v>
      </c>
      <c r="P143">
        <v>86.323716054525903</v>
      </c>
      <c r="Q143">
        <v>79.811788109839782</v>
      </c>
      <c r="R143">
        <v>-13.676283945474099</v>
      </c>
    </row>
    <row r="144" spans="1:18" x14ac:dyDescent="0.3">
      <c r="A144" s="21">
        <v>46213</v>
      </c>
      <c r="B144">
        <v>24306.849609375</v>
      </c>
      <c r="C144">
        <v>24530.900390625</v>
      </c>
      <c r="D144">
        <v>23805.19921875</v>
      </c>
      <c r="E144">
        <v>24206.900390625</v>
      </c>
      <c r="F144">
        <v>1860400</v>
      </c>
      <c r="G144">
        <v>23978.24950678393</v>
      </c>
      <c r="H144">
        <v>24203.828199705491</v>
      </c>
      <c r="I144">
        <v>49.833596728617081</v>
      </c>
      <c r="J144">
        <v>6.5768248585209577</v>
      </c>
      <c r="K144">
        <v>-225.57869292156101</v>
      </c>
      <c r="L144">
        <v>-328.58644427005146</v>
      </c>
      <c r="M144">
        <v>25007.152969124007</v>
      </c>
      <c r="N144">
        <v>23817.509960937499</v>
      </c>
      <c r="O144">
        <v>22627.866952750992</v>
      </c>
      <c r="P144">
        <v>80.823372040072854</v>
      </c>
      <c r="Q144">
        <v>81.529865316738963</v>
      </c>
      <c r="R144">
        <v>-19.176627959927139</v>
      </c>
    </row>
    <row r="145" spans="1:18" x14ac:dyDescent="0.3">
      <c r="A145" s="21">
        <v>46220</v>
      </c>
      <c r="B145">
        <v>24039.400390625</v>
      </c>
      <c r="C145">
        <v>24367.30078125</v>
      </c>
      <c r="D145">
        <v>24000.19921875</v>
      </c>
      <c r="E145">
        <v>24334.30078125</v>
      </c>
      <c r="F145">
        <v>1637500</v>
      </c>
      <c r="G145">
        <v>24033.026625934865</v>
      </c>
      <c r="H145">
        <v>24213.492995920042</v>
      </c>
      <c r="I145">
        <v>51.494995593926021</v>
      </c>
      <c r="J145">
        <v>1.1796012427250036</v>
      </c>
      <c r="K145">
        <v>-180.46636998517715</v>
      </c>
      <c r="L145">
        <v>-298.96242941307617</v>
      </c>
      <c r="M145">
        <v>24811.597960973537</v>
      </c>
      <c r="N145">
        <v>23775.29248046875</v>
      </c>
      <c r="O145">
        <v>22738.986999963963</v>
      </c>
      <c r="P145">
        <v>82.540652143140434</v>
      </c>
      <c r="Q145">
        <v>83.229246745913073</v>
      </c>
      <c r="R145">
        <v>-17.459347856859566</v>
      </c>
    </row>
    <row r="146" spans="1:18" x14ac:dyDescent="0.3">
      <c r="A146" s="21">
        <v>46227</v>
      </c>
      <c r="B146">
        <v>24190.05078125</v>
      </c>
      <c r="C146">
        <v>24266.099609375</v>
      </c>
      <c r="D146">
        <v>23606.30078125</v>
      </c>
      <c r="E146">
        <v>23767.44921875</v>
      </c>
      <c r="F146">
        <v>1651300</v>
      </c>
      <c r="G146">
        <v>23992.168563289582</v>
      </c>
      <c r="H146">
        <v>24180.452207935585</v>
      </c>
      <c r="I146">
        <v>44.44250176613982</v>
      </c>
      <c r="J146">
        <v>-2.4066369941883159</v>
      </c>
      <c r="K146">
        <v>-188.28364464600236</v>
      </c>
      <c r="L146">
        <v>-276.82667245966115</v>
      </c>
      <c r="M146">
        <v>24727.583550589326</v>
      </c>
      <c r="N146">
        <v>23741.142480468749</v>
      </c>
      <c r="O146">
        <v>22754.701410348171</v>
      </c>
      <c r="P146">
        <v>45.528997529818795</v>
      </c>
      <c r="Q146">
        <v>69.631007237677366</v>
      </c>
      <c r="R146">
        <v>-54.471002470181205</v>
      </c>
    </row>
    <row r="147" spans="1:18" x14ac:dyDescent="0.3">
      <c r="A147" s="21">
        <v>46234</v>
      </c>
      <c r="B147">
        <v>23928.400390625</v>
      </c>
      <c r="C147">
        <v>24429.400390625</v>
      </c>
      <c r="D147">
        <v>23891.55078125</v>
      </c>
      <c r="E147">
        <v>24383.599609375</v>
      </c>
      <c r="F147">
        <v>1993700</v>
      </c>
      <c r="G147">
        <v>24052.388724227618</v>
      </c>
      <c r="H147">
        <v>24195.500377906137</v>
      </c>
      <c r="I147">
        <v>52.118692450682325</v>
      </c>
      <c r="J147">
        <v>2.0321843777455495</v>
      </c>
      <c r="K147">
        <v>-143.11165367851936</v>
      </c>
      <c r="L147">
        <v>-250.08366870343255</v>
      </c>
      <c r="M147">
        <v>24787.996407983032</v>
      </c>
      <c r="N147">
        <v>23802.767480468749</v>
      </c>
      <c r="O147">
        <v>22817.538552954466</v>
      </c>
      <c r="P147">
        <v>89.91608548690742</v>
      </c>
      <c r="Q147">
        <v>72.661911719955569</v>
      </c>
      <c r="R147">
        <v>-10.083914513092591</v>
      </c>
    </row>
    <row r="148" spans="1:18" x14ac:dyDescent="0.3">
      <c r="A148" s="21">
        <v>46241</v>
      </c>
      <c r="B148">
        <v>24572.69921875</v>
      </c>
      <c r="C148">
        <v>24774.30078125</v>
      </c>
      <c r="D148">
        <v>24427.94921875</v>
      </c>
      <c r="E148">
        <v>24570.650390625</v>
      </c>
      <c r="F148">
        <v>1593100</v>
      </c>
      <c r="G148">
        <v>24132.121288290789</v>
      </c>
      <c r="H148">
        <v>24223.289634182012</v>
      </c>
      <c r="I148">
        <v>54.188067311997386</v>
      </c>
      <c r="J148">
        <v>2.3881587525289349</v>
      </c>
      <c r="K148">
        <v>-91.168345891222998</v>
      </c>
      <c r="L148">
        <v>-218.30060414099046</v>
      </c>
      <c r="M148">
        <v>24861.862513241387</v>
      </c>
      <c r="N148">
        <v>23875.575000000001</v>
      </c>
      <c r="O148">
        <v>22889.287486758614</v>
      </c>
      <c r="P148">
        <v>88.049740695109023</v>
      </c>
      <c r="Q148">
        <v>74.498274570611741</v>
      </c>
      <c r="R148">
        <v>-11.950259304890977</v>
      </c>
    </row>
    <row r="149" spans="1:18" x14ac:dyDescent="0.3">
      <c r="A149" s="21">
        <v>46248</v>
      </c>
      <c r="B149">
        <v>24581.25</v>
      </c>
      <c r="C149">
        <v>24620.94921875</v>
      </c>
      <c r="D149">
        <v>24265.94921875</v>
      </c>
      <c r="E149">
        <v>24366</v>
      </c>
      <c r="F149">
        <v>1422400</v>
      </c>
      <c r="G149">
        <v>24168.102628554523</v>
      </c>
      <c r="H149">
        <v>24233.860901463628</v>
      </c>
      <c r="I149">
        <v>51.562375099595251</v>
      </c>
      <c r="J149">
        <v>0.78527642452381752</v>
      </c>
      <c r="K149">
        <v>-65.758272909104562</v>
      </c>
      <c r="L149">
        <v>-187.79213789461312</v>
      </c>
      <c r="M149">
        <v>24826.663563591512</v>
      </c>
      <c r="N149">
        <v>23952.89501953125</v>
      </c>
      <c r="O149">
        <v>23079.126475470988</v>
      </c>
      <c r="P149">
        <v>76.040801123176976</v>
      </c>
      <c r="Q149">
        <v>84.668875768397811</v>
      </c>
      <c r="R149">
        <v>-23.959198876823013</v>
      </c>
    </row>
    <row r="150" spans="1:18" x14ac:dyDescent="0.3">
      <c r="A150" s="21">
        <v>46255</v>
      </c>
      <c r="B150">
        <v>24343.44921875</v>
      </c>
      <c r="C150">
        <v>24360.099609375</v>
      </c>
      <c r="D150">
        <v>24025.650390625</v>
      </c>
      <c r="E150">
        <v>24252</v>
      </c>
      <c r="F150">
        <v>1204300</v>
      </c>
      <c r="G150">
        <v>24181.009916469447</v>
      </c>
      <c r="H150">
        <v>24235.204553582713</v>
      </c>
      <c r="I150">
        <v>50.105890502214486</v>
      </c>
      <c r="J150">
        <v>2.5736460337936418</v>
      </c>
      <c r="K150">
        <v>-54.194637113265344</v>
      </c>
      <c r="L150">
        <v>-161.07263773834345</v>
      </c>
      <c r="M150">
        <v>24688.458990550691</v>
      </c>
      <c r="N150">
        <v>24029.840039062499</v>
      </c>
      <c r="O150">
        <v>23371.221087574308</v>
      </c>
      <c r="P150">
        <v>69.351250680496264</v>
      </c>
      <c r="Q150">
        <v>77.813930832927426</v>
      </c>
      <c r="R150">
        <v>-30.648749319503736</v>
      </c>
    </row>
    <row r="151" spans="1:18" x14ac:dyDescent="0.3">
      <c r="A151" s="21">
        <v>46262</v>
      </c>
      <c r="B151">
        <v>24285.05078125</v>
      </c>
      <c r="C151">
        <v>24378.599609375</v>
      </c>
      <c r="D151">
        <v>24076.849609375</v>
      </c>
      <c r="E151">
        <v>24175.650390625</v>
      </c>
      <c r="F151">
        <v>1340100</v>
      </c>
      <c r="G151">
        <v>24180.185374031829</v>
      </c>
      <c r="H151">
        <v>24230.793087925489</v>
      </c>
      <c r="I151">
        <v>49.105454371843898</v>
      </c>
      <c r="J151">
        <v>1.9239589462761053</v>
      </c>
      <c r="K151">
        <v>-50.60771389365982</v>
      </c>
      <c r="L151">
        <v>-138.97965296940666</v>
      </c>
      <c r="M151">
        <v>24697.907896528752</v>
      </c>
      <c r="N151">
        <v>24036.092578125001</v>
      </c>
      <c r="O151">
        <v>23374.27725972125</v>
      </c>
      <c r="P151">
        <v>64.871035213890721</v>
      </c>
      <c r="Q151">
        <v>70.08769567252132</v>
      </c>
      <c r="R151">
        <v>-35.128964786109279</v>
      </c>
    </row>
    <row r="152" spans="1:18" x14ac:dyDescent="0.3">
      <c r="A152" s="21">
        <v>46269</v>
      </c>
      <c r="B152">
        <v>24117.55078125</v>
      </c>
      <c r="C152">
        <v>24143.150390625</v>
      </c>
      <c r="D152">
        <v>23786.80078125</v>
      </c>
      <c r="E152">
        <v>23897.69921875</v>
      </c>
      <c r="F152">
        <v>1834500</v>
      </c>
      <c r="G152">
        <v>24136.725965526362</v>
      </c>
      <c r="H152">
        <v>24206.119228834705</v>
      </c>
      <c r="I152">
        <v>45.540570226663178</v>
      </c>
      <c r="J152">
        <v>1.4861259302905827</v>
      </c>
      <c r="K152">
        <v>-69.393263308342284</v>
      </c>
      <c r="L152">
        <v>-125.06237503719375</v>
      </c>
      <c r="M152">
        <v>24660.314305265569</v>
      </c>
      <c r="N152">
        <v>24013.3</v>
      </c>
      <c r="O152">
        <v>23366.28569473443</v>
      </c>
      <c r="P152">
        <v>48.560786223890432</v>
      </c>
      <c r="Q152">
        <v>60.927690706092477</v>
      </c>
      <c r="R152">
        <v>-51.439213776109568</v>
      </c>
    </row>
    <row r="153" spans="1:18" x14ac:dyDescent="0.3">
      <c r="A153" s="21">
        <v>46276</v>
      </c>
      <c r="B153">
        <v>23883.150390625</v>
      </c>
      <c r="C153">
        <v>23890</v>
      </c>
      <c r="D153">
        <v>23231.400390625</v>
      </c>
      <c r="E153">
        <v>23398.099609375</v>
      </c>
      <c r="F153">
        <v>1335100</v>
      </c>
      <c r="G153">
        <v>24023.091141501816</v>
      </c>
      <c r="H153">
        <v>24146.265386527946</v>
      </c>
      <c r="I153">
        <v>39.929476004651484</v>
      </c>
      <c r="J153">
        <v>0.13438094243025667</v>
      </c>
      <c r="K153">
        <v>-123.17424502612994</v>
      </c>
      <c r="L153">
        <v>-124.684749034981</v>
      </c>
      <c r="M153">
        <v>24690.357737344821</v>
      </c>
      <c r="N153">
        <v>23988.307519531249</v>
      </c>
      <c r="O153">
        <v>23286.257301717676</v>
      </c>
      <c r="P153">
        <v>19.244147732156673</v>
      </c>
      <c r="Q153">
        <v>44.225323056645948</v>
      </c>
      <c r="R153">
        <v>-80.755852267843338</v>
      </c>
    </row>
    <row r="154" spans="1:18" x14ac:dyDescent="0.3">
      <c r="A154" s="21">
        <v>46283</v>
      </c>
      <c r="B154">
        <v>23576.150390625</v>
      </c>
      <c r="C154">
        <v>23592.849609375</v>
      </c>
      <c r="D154">
        <v>23116.099609375</v>
      </c>
      <c r="E154">
        <v>23346.400390625</v>
      </c>
      <c r="F154">
        <v>1235400</v>
      </c>
      <c r="G154">
        <v>23918.984872135177</v>
      </c>
      <c r="H154">
        <v>24087.015635220181</v>
      </c>
      <c r="I154">
        <v>39.388638696826206</v>
      </c>
      <c r="J154">
        <v>-1.1704743931855721</v>
      </c>
      <c r="K154">
        <v>-168.03076308500385</v>
      </c>
      <c r="L154">
        <v>-133.35395184498557</v>
      </c>
      <c r="M154">
        <v>24714.129629594056</v>
      </c>
      <c r="N154">
        <v>23955.75</v>
      </c>
      <c r="O154">
        <v>23197.370370405944</v>
      </c>
      <c r="P154">
        <v>13.888591152639757</v>
      </c>
      <c r="Q154">
        <v>27.231175036228958</v>
      </c>
      <c r="R154">
        <v>-86.111408847360252</v>
      </c>
    </row>
    <row r="155" spans="1:18" x14ac:dyDescent="0.3">
      <c r="A155" s="21">
        <v>46290</v>
      </c>
      <c r="B155">
        <v>23330.19921875</v>
      </c>
      <c r="C155">
        <v>23489</v>
      </c>
      <c r="D155">
        <v>23020.94921875</v>
      </c>
      <c r="E155">
        <v>23140.5</v>
      </c>
      <c r="F155">
        <v>1209700</v>
      </c>
      <c r="G155">
        <v>23799.217968728815</v>
      </c>
      <c r="H155">
        <v>24016.902826480229</v>
      </c>
      <c r="I155">
        <v>37.22603149299038</v>
      </c>
      <c r="J155">
        <v>-3.6338482893492285</v>
      </c>
      <c r="K155">
        <v>-217.6848577514138</v>
      </c>
      <c r="L155">
        <v>-150.22013302627124</v>
      </c>
      <c r="M155">
        <v>24736.761261855419</v>
      </c>
      <c r="N155">
        <v>23903.967480468749</v>
      </c>
      <c r="O155">
        <v>23071.173699082079</v>
      </c>
      <c r="P155">
        <v>6.8184147324989191</v>
      </c>
      <c r="Q155">
        <v>13.31705120576512</v>
      </c>
      <c r="R155">
        <v>-93.181585267501077</v>
      </c>
    </row>
    <row r="156" spans="1:18" x14ac:dyDescent="0.3">
      <c r="A156" s="21">
        <v>46297</v>
      </c>
      <c r="B156">
        <v>23064.900390625</v>
      </c>
      <c r="C156">
        <v>23080.25</v>
      </c>
      <c r="D156">
        <v>22217.30078125</v>
      </c>
      <c r="E156">
        <v>22421.94921875</v>
      </c>
      <c r="F156">
        <v>1707300</v>
      </c>
      <c r="G156">
        <v>23587.330468730652</v>
      </c>
      <c r="H156">
        <v>23898.757273093197</v>
      </c>
      <c r="I156">
        <v>30.858556362251377</v>
      </c>
      <c r="J156">
        <v>-6.7926952995094769</v>
      </c>
      <c r="K156">
        <v>-311.42680436254523</v>
      </c>
      <c r="L156">
        <v>-182.46146729352608</v>
      </c>
      <c r="M156">
        <v>24903.998254259513</v>
      </c>
      <c r="N156">
        <v>23842.889941406251</v>
      </c>
      <c r="O156">
        <v>22781.781628552988</v>
      </c>
      <c r="P156">
        <v>8.0034586429409469</v>
      </c>
      <c r="Q156">
        <v>9.5701548426932117</v>
      </c>
      <c r="R156">
        <v>-91.996541357059058</v>
      </c>
    </row>
    <row r="157" spans="1:18" x14ac:dyDescent="0.3">
      <c r="A157" s="21">
        <v>46304</v>
      </c>
      <c r="B157">
        <v>22532.400390625</v>
      </c>
      <c r="C157">
        <v>22776.099609375</v>
      </c>
      <c r="D157">
        <v>22179.900390625</v>
      </c>
      <c r="E157">
        <v>22520.44921875</v>
      </c>
      <c r="F157">
        <v>1778200</v>
      </c>
      <c r="G157">
        <v>23423.19489180962</v>
      </c>
      <c r="H157">
        <v>23796.659706685572</v>
      </c>
      <c r="I157">
        <v>32.561467845110258</v>
      </c>
      <c r="J157">
        <v>-7.2119452709594523</v>
      </c>
      <c r="K157">
        <v>-373.46481487595156</v>
      </c>
      <c r="L157">
        <v>-220.66213681001119</v>
      </c>
      <c r="M157">
        <v>24997.766342745475</v>
      </c>
      <c r="N157">
        <v>23782.947363281251</v>
      </c>
      <c r="O157">
        <v>22568.128383817027</v>
      </c>
      <c r="P157">
        <v>13.126301913752048</v>
      </c>
      <c r="Q157">
        <v>9.3160584297306439</v>
      </c>
      <c r="R157">
        <v>-86.873698086247956</v>
      </c>
    </row>
    <row r="158" spans="1:18" x14ac:dyDescent="0.3">
      <c r="A158" s="21">
        <v>46311</v>
      </c>
      <c r="B158">
        <v>22593.19921875</v>
      </c>
      <c r="C158">
        <v>23149.849609375</v>
      </c>
      <c r="D158">
        <v>22288.44921875</v>
      </c>
      <c r="E158">
        <v>23146.150390625</v>
      </c>
      <c r="F158">
        <v>1663300</v>
      </c>
      <c r="G158">
        <v>23380.572660857935</v>
      </c>
      <c r="H158">
        <v>23748.473537104011</v>
      </c>
      <c r="I158">
        <v>42.285645695964661</v>
      </c>
      <c r="J158">
        <v>-4.382014974584747</v>
      </c>
      <c r="K158">
        <v>-367.90087624607622</v>
      </c>
      <c r="L158">
        <v>-250.1098846972242</v>
      </c>
      <c r="M158">
        <v>25006.978390593857</v>
      </c>
      <c r="N158">
        <v>23762.867382812499</v>
      </c>
      <c r="O158">
        <v>22518.756375031142</v>
      </c>
      <c r="P158">
        <v>37.243673084986973</v>
      </c>
      <c r="Q158">
        <v>19.457811213893326</v>
      </c>
      <c r="R158">
        <v>-62.756326915013027</v>
      </c>
    </row>
    <row r="159" spans="1:18" x14ac:dyDescent="0.3">
      <c r="A159" s="21">
        <v>46318</v>
      </c>
      <c r="B159">
        <v>23150.849609375</v>
      </c>
      <c r="C159">
        <v>23175.25</v>
      </c>
      <c r="D159">
        <v>22649.900390625</v>
      </c>
      <c r="E159">
        <v>22811.349609375</v>
      </c>
      <c r="F159">
        <v>285800</v>
      </c>
      <c r="G159">
        <v>23292.999883706354</v>
      </c>
      <c r="H159">
        <v>23679.056557277654</v>
      </c>
      <c r="I159">
        <v>39.041671679355879</v>
      </c>
      <c r="J159">
        <v>-6.2584546215869068</v>
      </c>
      <c r="K159">
        <v>-386.05667357130005</v>
      </c>
      <c r="L159">
        <v>-277.29924247203934</v>
      </c>
      <c r="M159">
        <v>25039.757481780405</v>
      </c>
      <c r="N159">
        <v>23735.099902343751</v>
      </c>
      <c r="O159">
        <v>22430.442322907096</v>
      </c>
      <c r="P159">
        <v>24.338927061211308</v>
      </c>
      <c r="Q159">
        <v>24.902967353316782</v>
      </c>
      <c r="R159">
        <v>-75.661072938788692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418E-D30E-45EF-8C63-9650771ECD27}">
  <dimension ref="A1"/>
  <sheetViews>
    <sheetView workbookViewId="0"/>
  </sheetViews>
  <sheetFormatPr defaultRowHeight="14.4" x14ac:dyDescent="0.3"/>
  <sheetData>
    <row r="1" spans="1:1" x14ac:dyDescent="0.3">
      <c r="A1" s="6" t="s">
        <v>42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HOW_IT_WORKS</vt:lpstr>
      <vt:lpstr>MASTER</vt:lpstr>
      <vt:lpstr>PRICES_DAILY</vt:lpstr>
      <vt:lpstr>PRICES_WEEKLY</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 Harolikar</dc:creator>
  <cp:lastModifiedBy>Amar Harolikar</cp:lastModifiedBy>
  <dcterms:created xsi:type="dcterms:W3CDTF">2025-03-30T10:32:07Z</dcterms:created>
  <dcterms:modified xsi:type="dcterms:W3CDTF">2026-10-21T13:37:14Z</dcterms:modified>
</cp:coreProperties>
</file>