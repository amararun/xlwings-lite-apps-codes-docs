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MARDATA\GITHUB\XLWINGS\tools_review\ylens\fixed\"/>
    </mc:Choice>
  </mc:AlternateContent>
  <xr:revisionPtr revIDLastSave="0" documentId="8_{7D2C8B94-8096-49E3-B319-505A2B7BB6E4}" xr6:coauthVersionLast="47" xr6:coauthVersionMax="47" xr10:uidLastSave="{00000000-0000-0000-0000-000000000000}"/>
  <bookViews>
    <workbookView xWindow="2688" yWindow="2316" windowWidth="19308" windowHeight="12084" xr2:uid="{528BE8C9-8211-474B-848F-0939E387E075}"/>
  </bookViews>
  <sheets>
    <sheet name="HOW_IT_WORKS" sheetId="29" r:id="rId1"/>
    <sheet name="MASTER" sheetId="20" r:id="rId2"/>
    <sheet name="PROFILE" sheetId="21" r:id="rId3"/>
    <sheet name="PL" sheetId="22" r:id="rId4"/>
    <sheet name="BS" sheetId="23" r:id="rId5"/>
    <sheet name="CF" sheetId="24" r:id="rId6"/>
    <sheet name="QTLY" sheetId="25" r:id="rId7"/>
    <sheet name="PRICES_DAILY" sheetId="26" r:id="rId8"/>
    <sheet name="PRICES_WEEKLY" sheetId="27" r:id="rId9"/>
    <sheet name="CHARTS" sheetId="28"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20" l="1"/>
  <c r="A25" i="20"/>
</calcChain>
</file>

<file path=xl/sharedStrings.xml><?xml version="1.0" encoding="utf-8"?>
<sst xmlns="http://schemas.openxmlformats.org/spreadsheetml/2006/main" count="596" uniqueCount="492">
  <si>
    <t>Tax Effect Of Unusual Items</t>
  </si>
  <si>
    <t>Tax Rate For Calcs</t>
  </si>
  <si>
    <t>Total Unusual Items</t>
  </si>
  <si>
    <t>Total Unusual Items Excluding Goodwill</t>
  </si>
  <si>
    <t>Net Income From Continuing Operation Net Minority Interest</t>
  </si>
  <si>
    <t>Reconciled Depreciation</t>
  </si>
  <si>
    <t>Net Interest Income</t>
  </si>
  <si>
    <t>Interest Expense</t>
  </si>
  <si>
    <t>Interest Income</t>
  </si>
  <si>
    <t>Normalized Income</t>
  </si>
  <si>
    <t>Net Income From Continuing And Discontinued Operation</t>
  </si>
  <si>
    <t>Diluted Average Shares</t>
  </si>
  <si>
    <t>Basic Average Shares</t>
  </si>
  <si>
    <t>Diluted EPS</t>
  </si>
  <si>
    <t>Basic EPS</t>
  </si>
  <si>
    <t>Diluted NI Availto Com Stockholders</t>
  </si>
  <si>
    <t>Net Income Common Stockholders</t>
  </si>
  <si>
    <t>Otherunder Preferred Stock Dividend</t>
  </si>
  <si>
    <t>Net Income</t>
  </si>
  <si>
    <t>Net Income Including Noncontrolling Interests</t>
  </si>
  <si>
    <t>Net Income Continuous Operations</t>
  </si>
  <si>
    <t>Tax Provision</t>
  </si>
  <si>
    <t>Pretax Income</t>
  </si>
  <si>
    <t>Special Income Charges</t>
  </si>
  <si>
    <t>Operating Expense</t>
  </si>
  <si>
    <t>Selling General And Administration</t>
  </si>
  <si>
    <t>Total Revenue</t>
  </si>
  <si>
    <t>Operating Revenue</t>
  </si>
  <si>
    <t>Metric</t>
  </si>
  <si>
    <t>Normalized EBITDA</t>
  </si>
  <si>
    <t>Reconciled Cost Of Revenue</t>
  </si>
  <si>
    <t>EBITDA</t>
  </si>
  <si>
    <t>EBIT</t>
  </si>
  <si>
    <t>Total Expenses</t>
  </si>
  <si>
    <t>Total Operating Income As Reported</t>
  </si>
  <si>
    <t>Other Income Expense</t>
  </si>
  <si>
    <t>Other Non Operating Income Expenses</t>
  </si>
  <si>
    <t>Net Non Operating Interest Income Expense</t>
  </si>
  <si>
    <t>Interest Expense Non Operating</t>
  </si>
  <si>
    <t>Interest Income Non Operating</t>
  </si>
  <si>
    <t>Operating Income</t>
  </si>
  <si>
    <t>Gross Profit</t>
  </si>
  <si>
    <t>Cost Of Revenue</t>
  </si>
  <si>
    <t>Treasury Shares Number</t>
  </si>
  <si>
    <t>Ordinary Shares Number</t>
  </si>
  <si>
    <t>Share Issued</t>
  </si>
  <si>
    <t>Total Debt</t>
  </si>
  <si>
    <t>Tangible Book Value</t>
  </si>
  <si>
    <t>Invested Capital</t>
  </si>
  <si>
    <t>Working Capital</t>
  </si>
  <si>
    <t>Net Tangible Assets</t>
  </si>
  <si>
    <t>Capital Lease Obligations</t>
  </si>
  <si>
    <t>Common Stock Equity</t>
  </si>
  <si>
    <t>Total Capitalization</t>
  </si>
  <si>
    <t>Total Equity Gross Minority Interest</t>
  </si>
  <si>
    <t>Stockholders Equity</t>
  </si>
  <si>
    <t>Free Cash Flow</t>
  </si>
  <si>
    <t>Repurchase Of Capital Stock</t>
  </si>
  <si>
    <t>Repayment Of Debt</t>
  </si>
  <si>
    <t>Average Dilution Earnings</t>
  </si>
  <si>
    <t>Research And Development</t>
  </si>
  <si>
    <t>Value</t>
  </si>
  <si>
    <t>address1</t>
  </si>
  <si>
    <t>city</t>
  </si>
  <si>
    <t>zip</t>
  </si>
  <si>
    <t>country</t>
  </si>
  <si>
    <t>phone</t>
  </si>
  <si>
    <t>website</t>
  </si>
  <si>
    <t>industry</t>
  </si>
  <si>
    <t>industryKey</t>
  </si>
  <si>
    <t>industryDisp</t>
  </si>
  <si>
    <t>sector</t>
  </si>
  <si>
    <t>sectorKey</t>
  </si>
  <si>
    <t>sectorDisp</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</si>
  <si>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</si>
  <si>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</si>
  <si>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</si>
  <si>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</si>
  <si>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</si>
  <si>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</si>
  <si>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</si>
  <si>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</si>
  <si>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</si>
  <si>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</si>
  <si>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</si>
  <si>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</si>
  <si>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</si>
  <si>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</si>
  <si>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</si>
  <si>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</si>
  <si>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</si>
  <si>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</si>
  <si>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</si>
  <si>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</si>
  <si>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</si>
  <si>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</si>
  <si>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</si>
  <si>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</si>
  <si>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</si>
  <si>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</si>
  <si>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</si>
  <si>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</si>
  <si>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</si>
  <si>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priceToSalesTrailing12Months</t>
  </si>
  <si>
    <t>fiftyDayAverage</t>
  </si>
  <si>
    <t>twoHundredDayAverage</t>
  </si>
  <si>
    <t>trailingAnnualDividendRate</t>
  </si>
  <si>
    <t>trailingAnnualDividendYield</t>
  </si>
  <si>
    <t>USD</t>
  </si>
  <si>
    <t>tradeable</t>
  </si>
  <si>
    <t>enterpriseValue</t>
  </si>
  <si>
    <t>floatShares</t>
  </si>
  <si>
    <t>sharesOutstanding</t>
  </si>
  <si>
    <t>sharesShort</t>
  </si>
  <si>
    <t>sharesShortPriorMonth</t>
  </si>
  <si>
    <t>sharesShortPreviousMonthDate</t>
  </si>
  <si>
    <t>dateShortInterest</t>
  </si>
  <si>
    <t>sharesPercentSharesOut</t>
  </si>
  <si>
    <t>heldPercentInsiders</t>
  </si>
  <si>
    <t>heldPercentInstitutions</t>
  </si>
  <si>
    <t>shortRatio</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</si>
  <si>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</si>
  <si>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</si>
  <si>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</si>
  <si>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</si>
  <si>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</si>
  <si>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</si>
  <si>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</si>
  <si>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</si>
  <si>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</si>
  <si>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</si>
  <si>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</si>
  <si>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</si>
  <si>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</si>
  <si>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</si>
  <si>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</si>
  <si>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</si>
  <si>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</si>
  <si>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</si>
  <si>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</si>
  <si>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EQUITY</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</si>
  <si>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</si>
  <si>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</si>
  <si>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</si>
  <si>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</si>
  <si>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</si>
  <si>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</si>
  <si>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</si>
  <si>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</si>
  <si>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</si>
  <si>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</si>
  <si>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</si>
  <si>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</si>
  <si>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</si>
  <si>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</si>
  <si>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</si>
  <si>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</si>
  <si>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</si>
  <si>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</si>
  <si>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</si>
  <si>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</si>
  <si>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</si>
  <si>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</si>
  <si>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</si>
  <si>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</si>
  <si>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</si>
  <si>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</si>
  <si>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</si>
  <si>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</si>
  <si>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</si>
  <si>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</si>
  <si>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en-US</t>
  </si>
  <si>
    <t>region</t>
  </si>
  <si>
    <t>US</t>
  </si>
  <si>
    <t>typeDisp</t>
  </si>
  <si>
    <t>Equity</t>
  </si>
  <si>
    <t>quoteSourceName</t>
  </si>
  <si>
    <t>Nasdaq Real Time Price</t>
  </si>
  <si>
    <t>triggerable</t>
  </si>
  <si>
    <t>customPriceAlertConfidence</t>
  </si>
  <si>
    <t>HIGH</t>
  </si>
  <si>
    <t>gmtOffSetMilliseconds</t>
  </si>
  <si>
    <t>market</t>
  </si>
  <si>
    <t>us_market</t>
  </si>
  <si>
    <t>esgPopulated</t>
  </si>
  <si>
    <t>longName</t>
  </si>
  <si>
    <t>marketState</t>
  </si>
  <si>
    <t>exchange</t>
  </si>
  <si>
    <t>messageBoardId</t>
  </si>
  <si>
    <t>exchangeTimezoneName</t>
  </si>
  <si>
    <t>America/New_York</t>
  </si>
  <si>
    <t>exchangeTimezoneShortName</t>
  </si>
  <si>
    <t>EDT</t>
  </si>
  <si>
    <t>cryptoTradeable</t>
  </si>
  <si>
    <t>shortName</t>
  </si>
  <si>
    <t>regularMarketChangePercent</t>
  </si>
  <si>
    <t>regularMarketPrice</t>
  </si>
  <si>
    <t>regularMarketChange</t>
  </si>
  <si>
    <t>regularMarketDayRange</t>
  </si>
  <si>
    <t>fullExchangeName</t>
  </si>
  <si>
    <t>fiftyTwoWeekLowChange</t>
  </si>
  <si>
    <t>fiftyTwoWeekLowChangePercent</t>
  </si>
  <si>
    <t>fiftyTwoWeekRange</t>
  </si>
  <si>
    <t>fiftyTwoWeekHighChange</t>
  </si>
  <si>
    <t>fiftyTwoWeekHighChangePercent</t>
  </si>
  <si>
    <t>fiftyTwoWeekChangePercent</t>
  </si>
  <si>
    <t>dividendDate</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</si>
  <si>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</si>
  <si>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</si>
  <si>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</si>
  <si>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</si>
  <si>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</si>
  <si>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</si>
  <si>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</si>
  <si>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</si>
  <si>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</si>
  <si>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</si>
  <si>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</si>
  <si>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</si>
  <si>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</si>
  <si>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</si>
  <si>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</si>
  <si>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</si>
  <si>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</si>
  <si>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hasPrePostMarketData</t>
  </si>
  <si>
    <t>firstTradeDateMilliseconds</t>
  </si>
  <si>
    <t>displayName</t>
  </si>
  <si>
    <t>Name</t>
  </si>
  <si>
    <t>Title</t>
  </si>
  <si>
    <t>Age</t>
  </si>
  <si>
    <t>Total Pay</t>
  </si>
  <si>
    <t>1. Company Information</t>
  </si>
  <si>
    <t>2. Stock Price &amp; Market Activity</t>
  </si>
  <si>
    <t>3. Valuation &amp; Ratios</t>
  </si>
  <si>
    <t>4. Dividend Information</t>
  </si>
  <si>
    <t>5. Earnings &amp; Financials</t>
  </si>
  <si>
    <t>6. Share Statistics</t>
  </si>
  <si>
    <t>7. Analyst Price Targets</t>
  </si>
  <si>
    <t>8. Technical Indicators</t>
  </si>
  <si>
    <t>9. Earnings Call / Fiscal Calendar</t>
  </si>
  <si>
    <t>10. Other</t>
  </si>
  <si>
    <t>United States</t>
  </si>
  <si>
    <t>NMS</t>
  </si>
  <si>
    <t>NasdaqGS</t>
  </si>
  <si>
    <t>31-12-2024</t>
  </si>
  <si>
    <t>31-12-2023</t>
  </si>
  <si>
    <t>31-12-2022</t>
  </si>
  <si>
    <t>31-12-2021</t>
  </si>
  <si>
    <t>11. Key Executives</t>
  </si>
  <si>
    <t>Cash And Cash Equivalents</t>
  </si>
  <si>
    <t>Other Short Term Investments</t>
  </si>
  <si>
    <t>Cash Cash Equivalents And Short Term Investments</t>
  </si>
  <si>
    <t>Gross Accounts Receivable</t>
  </si>
  <si>
    <t>Allowance For Doubtful Accounts Receivable</t>
  </si>
  <si>
    <t>Accounts Receivable</t>
  </si>
  <si>
    <t>Taxes Receivable</t>
  </si>
  <si>
    <t>Receivables</t>
  </si>
  <si>
    <t>Inventory</t>
  </si>
  <si>
    <t>Other Current Assets</t>
  </si>
  <si>
    <t>Current Assets</t>
  </si>
  <si>
    <t>Properties</t>
  </si>
  <si>
    <t>Land And Improvements</t>
  </si>
  <si>
    <t>Buildings And Improvements</t>
  </si>
  <si>
    <t>Machinery Furniture Equipment</t>
  </si>
  <si>
    <t>Other Properties</t>
  </si>
  <si>
    <t>Construction In Progress</t>
  </si>
  <si>
    <t>Leases</t>
  </si>
  <si>
    <t>Gross PPE</t>
  </si>
  <si>
    <t>Accumulated Depreciation</t>
  </si>
  <si>
    <t>Net PPE</t>
  </si>
  <si>
    <t>Goodwill</t>
  </si>
  <si>
    <t>Other Intangible Assets</t>
  </si>
  <si>
    <t>Goodwill And Other Intangible Assets</t>
  </si>
  <si>
    <t>Available For Sale Securities</t>
  </si>
  <si>
    <t>Investmentin Financial Assets</t>
  </si>
  <si>
    <t>Investments And Advances</t>
  </si>
  <si>
    <t>Non Current Deferred Taxes Assets</t>
  </si>
  <si>
    <t>Non Current Deferred Assets</t>
  </si>
  <si>
    <t>Other Non Current Assets</t>
  </si>
  <si>
    <t>Total Non Current Assets</t>
  </si>
  <si>
    <t>Total Assets</t>
  </si>
  <si>
    <t>Accounts Payable</t>
  </si>
  <si>
    <t>Income Tax Payable</t>
  </si>
  <si>
    <t>Total Tax Payable</t>
  </si>
  <si>
    <t>Other Payable</t>
  </si>
  <si>
    <t>Payables</t>
  </si>
  <si>
    <t>Current Accrued Expenses</t>
  </si>
  <si>
    <t>Payables And Accrued Expenses</t>
  </si>
  <si>
    <t>Pensionand Other Post Retirement Benefit Plans Current</t>
  </si>
  <si>
    <t>Current Capital Lease Obligation</t>
  </si>
  <si>
    <t>Current Debt And Capital Lease Obligation</t>
  </si>
  <si>
    <t>Current Deferred Revenue</t>
  </si>
  <si>
    <t>Current Deferred Liabilities</t>
  </si>
  <si>
    <t>Other Current Liabilities</t>
  </si>
  <si>
    <t>Current Liabilities</t>
  </si>
  <si>
    <t>Long Term Debt</t>
  </si>
  <si>
    <t>Long Term Capital Lease Obligation</t>
  </si>
  <si>
    <t>Long Term Debt And Capital Lease Obligation</t>
  </si>
  <si>
    <t>Non Current Deferred Taxes Liabilities</t>
  </si>
  <si>
    <t>Non Current Deferred Revenue</t>
  </si>
  <si>
    <t>Non Current Deferred Liabilities</t>
  </si>
  <si>
    <t>Tradeand Other Payables Non Current</t>
  </si>
  <si>
    <t>Other Non Current Liabilities</t>
  </si>
  <si>
    <t>Total Non Current Liabilities Net Minority Interest</t>
  </si>
  <si>
    <t>Total Liabilities Net Minority Interest</t>
  </si>
  <si>
    <t>Preferred Stock</t>
  </si>
  <si>
    <t>Common Stock</t>
  </si>
  <si>
    <t>Capital Stock</t>
  </si>
  <si>
    <t>Retained Earnings</t>
  </si>
  <si>
    <t>Other Equity Adjustments</t>
  </si>
  <si>
    <t>Gains Losses Not Affecting Retained Earnings</t>
  </si>
  <si>
    <t>Net Income From Continuing Operations</t>
  </si>
  <si>
    <t>Gain Loss On Investment Securities</t>
  </si>
  <si>
    <t>Operating Gains Losses</t>
  </si>
  <si>
    <t>Depreciation</t>
  </si>
  <si>
    <t>Depreciation And Amortization</t>
  </si>
  <si>
    <t>Depreciation Amortization Depletion</t>
  </si>
  <si>
    <t>Deferred Income Tax</t>
  </si>
  <si>
    <t>Deferred Tax</t>
  </si>
  <si>
    <t>Stock Based Compensation</t>
  </si>
  <si>
    <t>Changes In Account Receivables</t>
  </si>
  <si>
    <t>Change In Receivables</t>
  </si>
  <si>
    <t>Change In Account Payable</t>
  </si>
  <si>
    <t>Change In Payable</t>
  </si>
  <si>
    <t>Change In Payables And Accrued Expense</t>
  </si>
  <si>
    <t>Change In Other Current Assets</t>
  </si>
  <si>
    <t>Change In Other Working Capital</t>
  </si>
  <si>
    <t>Change In Working Capital</t>
  </si>
  <si>
    <t>Cash Flow From Continuing Operating Activities</t>
  </si>
  <si>
    <t>Operating Cash Flow</t>
  </si>
  <si>
    <t>Purchase Of PPE</t>
  </si>
  <si>
    <t>Net PPE Purchase And Sale</t>
  </si>
  <si>
    <t>Purchase Of Business</t>
  </si>
  <si>
    <t>Net Business Purchase And Sale</t>
  </si>
  <si>
    <t>Purchase Of Investment</t>
  </si>
  <si>
    <t>Sale Of Investment</t>
  </si>
  <si>
    <t>Net Investment Purchase And Sale</t>
  </si>
  <si>
    <t>Net Other Investing Changes</t>
  </si>
  <si>
    <t>Cash Flow From Continuing Investing Activities</t>
  </si>
  <si>
    <t>Investing Cash Flow</t>
  </si>
  <si>
    <t>Long Term Debt Issuance</t>
  </si>
  <si>
    <t>Long Term Debt Payments</t>
  </si>
  <si>
    <t>Net Long Term Debt Issuance</t>
  </si>
  <si>
    <t>Net Issuance Payments Of Debt</t>
  </si>
  <si>
    <t>Common Stock Payments</t>
  </si>
  <si>
    <t>Net Common Stock Issuance</t>
  </si>
  <si>
    <t>Common Stock Dividend Paid</t>
  </si>
  <si>
    <t>Cash Dividends Paid</t>
  </si>
  <si>
    <t>Net Other Financing Charges</t>
  </si>
  <si>
    <t>Cash Flow From Continuing Financing Activities</t>
  </si>
  <si>
    <t>Financing Cash Flow</t>
  </si>
  <si>
    <t>Changes In Cash</t>
  </si>
  <si>
    <t>Effect Of Exchange Rate Changes</t>
  </si>
  <si>
    <t>Beginning Cash Position</t>
  </si>
  <si>
    <t>End Cash Position</t>
  </si>
  <si>
    <t>Capital Expenditure</t>
  </si>
  <si>
    <t>Issuance Of Debt</t>
  </si>
  <si>
    <t>1600 Amphitheatre Parkway</t>
  </si>
  <si>
    <t>Mountain View</t>
  </si>
  <si>
    <t>650-253-0000</t>
  </si>
  <si>
    <t>https://abc.xyz</t>
  </si>
  <si>
    <t>Internet Content &amp; Information</t>
  </si>
  <si>
    <t>internet-content-information</t>
  </si>
  <si>
    <t>Communication Services</t>
  </si>
  <si>
    <t>communication-services</t>
  </si>
  <si>
    <t>GOOG</t>
  </si>
  <si>
    <t>Alphabet Inc.</t>
  </si>
  <si>
    <t>Alphabet</t>
  </si>
  <si>
    <t>finmb_29096</t>
  </si>
  <si>
    <t>Mr. Sundar  Pichai</t>
  </si>
  <si>
    <t>CEO &amp; Director</t>
  </si>
  <si>
    <t>Ms. Ruth M. Porat</t>
  </si>
  <si>
    <t>President &amp; Chief Investment Officer</t>
  </si>
  <si>
    <t>Dr. Lawrence Edward Page II</t>
  </si>
  <si>
    <t>Co-Founder &amp; Director</t>
  </si>
  <si>
    <t>Mr. Sergey  Brin</t>
  </si>
  <si>
    <t>Mr. J. Kent Walker</t>
  </si>
  <si>
    <t>President of Global Affairs, Chief Legal Officer &amp; Company Secretary</t>
  </si>
  <si>
    <t>Mr. Philipp  Schindler</t>
  </si>
  <si>
    <t>Senior Vice President &amp; Chief Business Officer of Google</t>
  </si>
  <si>
    <t>Ms. Anat  Ashkenazi</t>
  </si>
  <si>
    <t>Senior VP &amp; CFO</t>
  </si>
  <si>
    <t>EMA_12</t>
  </si>
  <si>
    <t>EMA_26</t>
  </si>
  <si>
    <t>RSI_14</t>
  </si>
  <si>
    <t>MACD_12_26</t>
  </si>
  <si>
    <t>MACD_SIGNAL_9</t>
  </si>
  <si>
    <t>DATE</t>
  </si>
  <si>
    <t>OPEN</t>
  </si>
  <si>
    <t>LOW</t>
  </si>
  <si>
    <t>CLOSE</t>
  </si>
  <si>
    <t>VOLUME</t>
  </si>
  <si>
    <t>ROC_14</t>
  </si>
  <si>
    <t>Other Gand A</t>
  </si>
  <si>
    <t>General And Administrative Expense</t>
  </si>
  <si>
    <t>Selling And Marketing Expense</t>
  </si>
  <si>
    <t>Gain On Sale Of Security</t>
  </si>
  <si>
    <t>Earnings From Equity Interest</t>
  </si>
  <si>
    <t>Amortization Of Intangibles</t>
  </si>
  <si>
    <t>Amortization Cash Flow</t>
  </si>
  <si>
    <t>Other Non Cash Items</t>
  </si>
  <si>
    <t>Change In Accrued Expense</t>
  </si>
  <si>
    <t>Proceeds From Stock Option Exercised</t>
  </si>
  <si>
    <t>Income Tax Paid Supplemental Data</t>
  </si>
  <si>
    <t>YLENS: Yahoo Finance Analyzer</t>
  </si>
  <si>
    <t>Company profile, financial statements, prices with indicators and charts, and an AI-written technical report.</t>
  </si>
  <si>
    <t>Quick start: type a Yahoo Finance symbol in C7 and click the buttons in order.</t>
  </si>
  <si>
    <t>Symbol and dates</t>
  </si>
  <si>
    <t>Yahoo Finance symbol (GOOG, RELIANCE.NS, ^NSEI, EURUSD=X):</t>
  </si>
  <si>
    <t>Daily range start (empty = 6 months before the end):</t>
  </si>
  <si>
    <t>Daily range end (empty = today):</t>
  </si>
  <si>
    <t>Weekly range start (empty = 3 years before the end):</t>
  </si>
  <si>
    <t>Weekly range end (empty = today):</t>
  </si>
  <si>
    <t>AI report model (Sonnet is the default):</t>
  </si>
  <si>
    <t>Company data</t>
  </si>
  <si>
    <t>Profile, market data, valuation, dividends, executives.</t>
  </si>
  <si>
    <t>Output: PROFILE.</t>
  </si>
  <si>
    <t>Annual P&amp;L, balance sheet and cash flow; quarterly P&amp;L.</t>
  </si>
  <si>
    <t>Output: PL, BS, CF, QTLY.</t>
  </si>
  <si>
    <t>Prices and AI report</t>
  </si>
  <si>
    <t>Daily and weekly prices, eight indicators and charts.</t>
  </si>
  <si>
    <t>Output: PRICES_DAILY, PRICES_WEEKLY, CHARTS.</t>
  </si>
  <si>
    <t>An LLM reads the charts and indicators and writes the report. About a minute.</t>
  </si>
  <si>
    <t>No API key needed. Limit: 20 reports a day per IP address. Links appear below.</t>
  </si>
  <si>
    <t>claude-sonnet-5-5</t>
  </si>
  <si>
    <t>https://mdtopdf.tigzig.com/static/pdfs/report_20261024_150458_5650c39b.pdf</t>
  </si>
  <si>
    <t>https://mdtopdf.tigzig.com/static/html/report_20261024_150458_5650c39b.html</t>
  </si>
  <si>
    <t>Company profile: GOOG (Alphabet Inc.)</t>
  </si>
  <si>
    <t>Item</t>
  </si>
  <si>
    <t>longBusinessSummary</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</si>
  <si>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</si>
  <si>
    <t>fullTimeEmployees</t>
  </si>
  <si>
    <t>94043</t>
  </si>
  <si>
    <t>316.9899 - 321.2299</t>
  </si>
  <si>
    <t>CLOSED</t>
  </si>
  <si>
    <t>strong_buy</t>
  </si>
  <si>
    <t>1.4 - Strong Buy</t>
  </si>
  <si>
    <t>264.94 - 404.47</t>
  </si>
  <si>
    <t>20:1</t>
  </si>
  <si>
    <t>Ms. Marsida  Saraci</t>
  </si>
  <si>
    <t>Principal Accounting Officer, VP &amp; Controller</t>
  </si>
  <si>
    <t>Sir Demis  Hassabis Ph.D.</t>
  </si>
  <si>
    <t>Chief Scientist</t>
  </si>
  <si>
    <t>Mr. James H. Friedland</t>
  </si>
  <si>
    <t>Head of Investor Relations</t>
  </si>
  <si>
    <t>Income statement (annual): GOOG. Values as reported by Yahoo Finance, in the reporting currency.</t>
  </si>
  <si>
    <t>31-12-2025</t>
  </si>
  <si>
    <t>Write Off</t>
  </si>
  <si>
    <t>Balance sheet (annual): GOOG. Values as reported by Yahoo Finance, in the reporting currency.</t>
  </si>
  <si>
    <t>Net Debt</t>
  </si>
  <si>
    <t>Cash flow (annual): GOOG. Values as reported by Yahoo Finance, in the reporting currency.</t>
  </si>
  <si>
    <t>Income statement (quarterly): GOOG. Values as reported by Yahoo Finance, in the reporting currency.</t>
  </si>
  <si>
    <t>30-06-2026</t>
  </si>
  <si>
    <t>31-03-2026</t>
  </si>
  <si>
    <t>30-09-2025</t>
  </si>
  <si>
    <t>30-06-2025</t>
  </si>
  <si>
    <t>31-03-2025</t>
  </si>
  <si>
    <t>Daily prices and indicators: GOOG, 25 Apr 2026 to 24 Oct 2026</t>
  </si>
  <si>
    <t>BB_UPPER_20_2</t>
  </si>
  <si>
    <t>BB_MIDDLE_20</t>
  </si>
  <si>
    <t>BB_LOWER_20_2</t>
  </si>
  <si>
    <t>STOCH_K_14</t>
  </si>
  <si>
    <t>STOCH_D_3</t>
  </si>
  <si>
    <t>WILLIAMS_R_14</t>
  </si>
  <si>
    <t>Weekly prices and indicators (weeks ending Friday): GOOG, 25 Oct 2023 to 24 Oct 2026</t>
  </si>
  <si>
    <t>GOOG: daily (left) and weekly (right)</t>
  </si>
  <si>
    <t>YLENS: how it works</t>
  </si>
  <si>
    <t>Everything comes from two open APIs (no key): the TIGZIG Yahoo Finance API for data and the TIGZIG Technical Analysis API for the written report. Indicators and charts are computed in Python inside Excel.</t>
  </si>
  <si>
    <t>Steps</t>
  </si>
  <si>
    <t>MASTER C7: any Yahoo Finance symbol. Non-US listings carry an exchange suffix: RELIANCE.NS (NSE), .BO (BSE), .L (London). Indices look like ^NSEI, FX like EURUSD=X. C8:C11: leave empty for the last 6 months (daily) and the last 3 years (weekly) up to today, or type dates.</t>
  </si>
  <si>
    <t>1. Company Profile</t>
  </si>
  <si>
    <t>Company details, market data, valuation ratios, dividends, earnings, share statistics, analyst targets and key executives, as Yahoo Finance reports them (PROFILE).</t>
  </si>
  <si>
    <t>2. Financial Statements</t>
  </si>
  <si>
    <t>Annual income statement, balance sheet and cash flow, and the quarterly income statement, as reported by Yahoo Finance in the company's reporting currency (PL, BS, CF, QTLY). The four calls run in parallel.</t>
  </si>
  <si>
    <t>3. Prices &amp; Charts</t>
  </si>
  <si>
    <t>Daily prices, weekly bars ending Friday, and indicators computed in pandas: EMA 12 and 26, RSI 14, ROC 14, MACD (12, 26, 9), Bollinger Bands (20, 2), Stochastic %K 14 / %D 3 and Williams %R 14. Charts: price with EMAs and Bollinger Bands, MACD, RSI and ROC, daily and weekly.</t>
  </si>
  <si>
    <t>4. AI Report</t>
  </si>
  <si>
    <t>Sends the symbol and the four dates to the TIGZIG Technical Analysis API. The server pulls the data, draws the charts, has an LLM write the analysis and returns links to a PDF and an HTML report (MASTER, below the buttons). Model (C12): Claude Sonnet 5.5 by default, or Claude Opus 5.5. Limit: 20 reports a day per IP address.</t>
  </si>
  <si>
    <t>Sheets</t>
  </si>
  <si>
    <t>MASTER</t>
  </si>
  <si>
    <t>Symbol, dates, buttons, messages (red = error, blue = done) and the report links.</t>
  </si>
  <si>
    <t>PROFILE, PL, BS, CF, QTLY</t>
  </si>
  <si>
    <t>Company data. The workbook ships with GOOG; each run replaces these sheets.</t>
  </si>
  <si>
    <t>PRICES_DAILY / WEEKLY, CHARTS</t>
  </si>
  <si>
    <t>Prices and indicators, one row per day or week (the last week may be partial), and the charts.</t>
  </si>
  <si>
    <t>Good to know</t>
  </si>
  <si>
    <t>Indicators</t>
  </si>
  <si>
    <t>The formulas are in main.py (add_indicators), in plain pandas, so you can check or change them.</t>
  </si>
  <si>
    <t>APIs</t>
  </si>
  <si>
    <t>Docs: yfin-h.tigzig.com/docs (data) and ta.tigzig.com/docs (reports). Both allow requests from xlwings Lite.</t>
  </si>
  <si>
    <t>Not advice</t>
  </si>
  <si>
    <t>YLENS is a working example of what xlwings Lite can do. The report is an automated technical reading of price history, not investment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</si>
</sst>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d/mmm/yyyy"/>
  </numFmts>
  <fonts count="16" x14ac:knownFonts="1">
    <font>
      <sz val="11"/>
      <color theme="1"/>
      <name val="Aptos Narrow"/>
      <family val="2"/>
      <scheme val="minor"/>
    </font>
    <font>
      <b/>
      <sz val="11"/>
      <color theme="1"/>
      <name val="Aptos Narrow"/>
      <family val="2"/>
      <scheme val="minor"/>
    </font>
    <font>
      <b/>
      <sz val="13"/>
      <color theme="1"/>
      <name val="Aptos Narrow"/>
      <family val="2"/>
      <scheme val="minor"/>
    </font>
    <font>
      <u/>
      <sz val="11"/>
      <color theme="10"/>
      <name val="Aptos Narrow"/>
      <family val="2"/>
      <scheme val="minor"/>
    </font>
    <font>
      <b/>
      <sz val="20"/>
      <color theme="1"/>
      <name val="Aptos Narrow"/>
      <family val="2"/>
      <scheme val="minor"/>
    </font>
    <font>
      <sz val="12"/>
      <color theme="1"/>
      <name val="Aptos Narrow"/>
      <family val="2"/>
      <scheme val="minor"/>
    </font>
    <font>
      <sz val="14"/>
      <color theme="1"/>
      <name val="Aptos Narrow"/>
      <family val="2"/>
      <scheme val="minor"/>
    </font>
    <font>
      <b/>
      <sz val="14"/>
      <color theme="1"/>
      <name val="Aptos Narrow"/>
      <family val="2"/>
      <scheme val="minor"/>
    </font>
    <font>
      <b/>
      <sz val="14"/>
      <color rgb="FF1F4E79"/>
      <name val="Aptos Narrow"/>
      <family val="2"/>
      <scheme val="minor"/>
    </font>
    <font>
      <b/>
      <sz val="15"/>
      <color rgb="FF1F4E79"/>
      <name val="Aptos Narrow"/>
      <family val="2"/>
      <scheme val="minor"/>
    </font>
    <font>
      <i/>
      <sz val="12"/>
      <color theme="1"/>
      <name val="Aptos Narrow"/>
      <family val="2"/>
      <scheme val="minor"/>
    </font>
    <font>
      <u/>
      <sz val="14"/>
      <color theme="10"/>
      <name val="Aptos Narrow"/>
      <family val="2"/>
      <scheme val="minor"/>
    </font>
    <font>
      <sz val="10"/>
      <color theme="1"/>
      <name val="Aptos Narrow"/>
      <family val="2"/>
      <scheme val="minor"/>
    </font>
    <font>
      <b/>
      <sz val="11"/>
      <color rgb="FF1F4E79"/>
      <name val="Aptos Narrow"/>
      <family val="2"/>
      <scheme val="minor"/>
    </font>
    <font>
      <b/>
      <sz val="16"/>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DDEBF7"/>
        <bgColor indexed="64"/>
      </patternFill>
    </fill>
    <fill>
      <patternFill patternType="solid">
        <fgColor rgb="FFFFFFCC"/>
        <bgColor indexed="64"/>
      </patternFill>
    </fill>
  </fills>
  <borders count="3">
    <border>
      <left/>
      <right/>
      <top/>
      <bottom/>
      <diagonal/>
    </border>
    <border>
      <left/>
      <right/>
      <top/>
      <bottom style="medium">
        <color rgb="FF1F4E79"/>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14" fontId="0" fillId="0" borderId="0" xfId="0" applyNumberFormat="1"/>
    <xf numFmtId="0" fontId="0" fillId="0" borderId="0" xfId="0" applyFont="1"/>
    <xf numFmtId="0" fontId="4" fillId="0" borderId="0" xfId="0" applyFont="1" applyAlignment="1">
      <alignment vertical="center"/>
    </xf>
    <xf numFmtId="0" fontId="5" fillId="0" borderId="0" xfId="0" applyFont="1" applyAlignment="1">
      <alignment vertical="center"/>
    </xf>
    <xf numFmtId="0" fontId="0" fillId="2" borderId="0" xfId="0" applyFont="1" applyFill="1"/>
    <xf numFmtId="0" fontId="8" fillId="2" borderId="0" xfId="0" applyFont="1" applyFill="1" applyAlignment="1">
      <alignment horizontal="left" vertical="center" indent="1"/>
    </xf>
    <xf numFmtId="0" fontId="0" fillId="0" borderId="1" xfId="0" applyFont="1" applyBorder="1"/>
    <xf numFmtId="0" fontId="9" fillId="0" borderId="1" xfId="0" applyFont="1" applyBorder="1" applyAlignment="1">
      <alignment vertical="center"/>
    </xf>
    <xf numFmtId="0" fontId="6" fillId="0" borderId="0" xfId="0" applyFont="1" applyAlignment="1">
      <alignment vertical="center"/>
    </xf>
    <xf numFmtId="0" fontId="10" fillId="0" borderId="0" xfId="0" applyFont="1" applyAlignment="1">
      <alignment vertical="center"/>
    </xf>
    <xf numFmtId="49" fontId="7" fillId="3" borderId="2" xfId="0" applyNumberFormat="1" applyFont="1" applyFill="1" applyBorder="1" applyAlignment="1">
      <alignment horizontal="center"/>
    </xf>
    <xf numFmtId="168" fontId="7" fillId="3" borderId="2" xfId="0" applyNumberFormat="1" applyFont="1" applyFill="1" applyBorder="1" applyAlignment="1">
      <alignment horizontal="center"/>
    </xf>
    <xf numFmtId="0" fontId="0" fillId="0" borderId="0" xfId="0" applyFont="1" applyAlignment="1">
      <alignment vertical="top" wrapText="1"/>
    </xf>
    <xf numFmtId="0" fontId="11" fillId="0" borderId="0" xfId="1" applyFont="1"/>
    <xf numFmtId="0" fontId="12" fillId="0" borderId="0" xfId="0" applyFont="1"/>
    <xf numFmtId="0" fontId="1" fillId="0" borderId="0" xfId="0" applyFont="1"/>
    <xf numFmtId="0" fontId="13" fillId="0" borderId="0" xfId="0" applyFont="1"/>
    <xf numFmtId="49" fontId="0" fillId="0" borderId="0" xfId="0" applyNumberFormat="1"/>
    <xf numFmtId="3" fontId="0" fillId="0" borderId="0" xfId="0" applyNumberFormat="1"/>
    <xf numFmtId="168" fontId="0" fillId="0" borderId="0" xfId="0" applyNumberFormat="1"/>
    <xf numFmtId="0" fontId="14" fillId="0" borderId="0" xfId="0" applyFont="1"/>
    <xf numFmtId="0" fontId="5" fillId="0" borderId="0" xfId="0" applyFont="1" applyAlignment="1">
      <alignment wrapText="1"/>
    </xf>
    <xf numFmtId="0" fontId="2" fillId="0" borderId="0" xfId="0" applyFont="1"/>
    <xf numFmtId="49" fontId="15" fillId="0" borderId="0" xfId="0" applyNumberFormat="1" applyFont="1" applyAlignment="1">
      <alignment vertical="top" wrapText="1"/>
    </xf>
    <xf numFmtId="0" fontId="5" fillId="0" borderId="0" xfId="0" applyFont="1" applyAlignment="1">
      <alignment wrapText="1"/>
    </xf>
  </cellXfs>
  <cellStyles count="2">
    <cellStyle name="Hyperlink" xfId="1" builtinId="8"/>
    <cellStyle name="Normal" xfId="0" builtinId="0"/>
  </cellStyles>
  <dxfs count="26">
    <dxf>
      <numFmt numFmtId="168" formatCode="dd/mmm/yyyy"/>
    </dxf>
    <dxf>
      <numFmt numFmtId="168" formatCode="dd/mmm/yyyy"/>
    </dxf>
    <dxf>
      <numFmt numFmtId="3" formatCode="#,##0"/>
    </dxf>
    <dxf>
      <numFmt numFmtId="3" formatCode="#,##0"/>
    </dxf>
    <dxf>
      <numFmt numFmtId="3" formatCode="#,##0"/>
    </dxf>
    <dxf>
      <numFmt numFmtId="3" formatCode="#,##0"/>
    </dxf>
    <dxf>
      <numFmt numFmtId="3" formatCode="#,##0"/>
    </dxf>
    <dxf>
      <numFmt numFmtId="3" formatCode="#,##0"/>
    </dxf>
    <dxf>
      <numFmt numFmtId="19" formatCode="dd/mm/yyyy"/>
    </dxf>
    <dxf>
      <numFmt numFmtId="3" formatCode="#,##0"/>
    </dxf>
    <dxf>
      <numFmt numFmtId="3" formatCode="#,##0"/>
    </dxf>
    <dxf>
      <numFmt numFmtId="3" formatCode="#,##0"/>
    </dxf>
    <dxf>
      <numFmt numFmtId="3" formatCode="#,##0"/>
    </dxf>
    <dxf>
      <numFmt numFmtId="3" formatCode="#,##0"/>
    </dxf>
    <dxf>
      <numFmt numFmtId="19" formatCode="dd/mm/yyyy"/>
    </dxf>
    <dxf>
      <numFmt numFmtId="3" formatCode="#,##0"/>
    </dxf>
    <dxf>
      <numFmt numFmtId="3" formatCode="#,##0"/>
    </dxf>
    <dxf>
      <numFmt numFmtId="3" formatCode="#,##0"/>
    </dxf>
    <dxf>
      <numFmt numFmtId="3" formatCode="#,##0"/>
    </dxf>
    <dxf>
      <numFmt numFmtId="3" formatCode="#,##0"/>
    </dxf>
    <dxf>
      <numFmt numFmtId="19" formatCode="dd/mm/yyyy"/>
    </dxf>
    <dxf>
      <numFmt numFmtId="3" formatCode="#,##0"/>
    </dxf>
    <dxf>
      <numFmt numFmtId="3" formatCode="#,##0"/>
    </dxf>
    <dxf>
      <numFmt numFmtId="3" formatCode="#,##0"/>
    </dxf>
    <dxf>
      <numFmt numFmtId="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MASTER!C19"/><Relationship Id="rId2" Type="http://schemas.openxmlformats.org/officeDocument/2006/relationships/hyperlink" Target="#MASTER!C16"/><Relationship Id="rId1" Type="http://schemas.openxmlformats.org/officeDocument/2006/relationships/hyperlink" Target="#MASTER!C14"/><Relationship Id="rId4" Type="http://schemas.openxmlformats.org/officeDocument/2006/relationships/hyperlink" Target="#MASTER!C21"/></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13</xdr:row>
      <xdr:rowOff>58420</xdr:rowOff>
    </xdr:from>
    <xdr:to>
      <xdr:col>2</xdr:col>
      <xdr:colOff>2882900</xdr:colOff>
      <xdr:row>14</xdr:row>
      <xdr:rowOff>215900</xdr:rowOff>
    </xdr:to>
    <xdr:sp macro="" textlink="">
      <xdr:nvSpPr>
        <xdr:cNvPr id="2" name="btn_profile">
          <a:hlinkClick xmlns:r="http://schemas.openxmlformats.org/officeDocument/2006/relationships" r:id="rId1"/>
          <a:extLst>
            <a:ext uri="{FF2B5EF4-FFF2-40B4-BE49-F238E27FC236}">
              <a16:creationId xmlns:a16="http://schemas.microsoft.com/office/drawing/2014/main" id="{9453D2C1-F850-C8D8-1791-A6AF4FD4CBB9}"/>
            </a:ext>
          </a:extLst>
        </xdr:cNvPr>
        <xdr:cNvSpPr/>
      </xdr:nvSpPr>
      <xdr:spPr>
        <a:xfrm>
          <a:off x="6055360" y="380746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1. Company Profile</a:t>
          </a:r>
        </a:p>
      </xdr:txBody>
    </xdr:sp>
    <xdr:clientData/>
  </xdr:twoCellAnchor>
  <xdr:twoCellAnchor editAs="oneCell">
    <xdr:from>
      <xdr:col>2</xdr:col>
      <xdr:colOff>50800</xdr:colOff>
      <xdr:row>15</xdr:row>
      <xdr:rowOff>58420</xdr:rowOff>
    </xdr:from>
    <xdr:to>
      <xdr:col>2</xdr:col>
      <xdr:colOff>2882900</xdr:colOff>
      <xdr:row>16</xdr:row>
      <xdr:rowOff>215900</xdr:rowOff>
    </xdr:to>
    <xdr:sp macro="" textlink="">
      <xdr:nvSpPr>
        <xdr:cNvPr id="3" name="btn_fin">
          <a:hlinkClick xmlns:r="http://schemas.openxmlformats.org/officeDocument/2006/relationships" r:id="rId2"/>
          <a:extLst>
            <a:ext uri="{FF2B5EF4-FFF2-40B4-BE49-F238E27FC236}">
              <a16:creationId xmlns:a16="http://schemas.microsoft.com/office/drawing/2014/main" id="{AEBF5AE3-0F72-E7DC-04D2-C7DABAE97C6A}"/>
            </a:ext>
          </a:extLst>
        </xdr:cNvPr>
        <xdr:cNvSpPr/>
      </xdr:nvSpPr>
      <xdr:spPr>
        <a:xfrm>
          <a:off x="6055360" y="435610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2. Financial Statements</a:t>
          </a:r>
        </a:p>
      </xdr:txBody>
    </xdr:sp>
    <xdr:clientData/>
  </xdr:twoCellAnchor>
  <xdr:twoCellAnchor editAs="oneCell">
    <xdr:from>
      <xdr:col>2</xdr:col>
      <xdr:colOff>50800</xdr:colOff>
      <xdr:row>18</xdr:row>
      <xdr:rowOff>58420</xdr:rowOff>
    </xdr:from>
    <xdr:to>
      <xdr:col>2</xdr:col>
      <xdr:colOff>2882900</xdr:colOff>
      <xdr:row>19</xdr:row>
      <xdr:rowOff>215900</xdr:rowOff>
    </xdr:to>
    <xdr:sp macro="" textlink="">
      <xdr:nvSpPr>
        <xdr:cNvPr id="4" name="btn_tech">
          <a:hlinkClick xmlns:r="http://schemas.openxmlformats.org/officeDocument/2006/relationships" r:id="rId3"/>
          <a:extLst>
            <a:ext uri="{FF2B5EF4-FFF2-40B4-BE49-F238E27FC236}">
              <a16:creationId xmlns:a16="http://schemas.microsoft.com/office/drawing/2014/main" id="{112B130D-AFC7-F73B-BBEB-5186A1356942}"/>
            </a:ext>
          </a:extLst>
        </xdr:cNvPr>
        <xdr:cNvSpPr/>
      </xdr:nvSpPr>
      <xdr:spPr>
        <a:xfrm>
          <a:off x="6055360" y="525526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3. Prices &amp; Charts</a:t>
          </a:r>
        </a:p>
      </xdr:txBody>
    </xdr:sp>
    <xdr:clientData/>
  </xdr:twoCellAnchor>
  <xdr:twoCellAnchor editAs="oneCell">
    <xdr:from>
      <xdr:col>2</xdr:col>
      <xdr:colOff>50800</xdr:colOff>
      <xdr:row>20</xdr:row>
      <xdr:rowOff>58420</xdr:rowOff>
    </xdr:from>
    <xdr:to>
      <xdr:col>2</xdr:col>
      <xdr:colOff>2882900</xdr:colOff>
      <xdr:row>21</xdr:row>
      <xdr:rowOff>215900</xdr:rowOff>
    </xdr:to>
    <xdr:sp macro="" textlink="">
      <xdr:nvSpPr>
        <xdr:cNvPr id="5" name="btn_ai">
          <a:hlinkClick xmlns:r="http://schemas.openxmlformats.org/officeDocument/2006/relationships" r:id="rId4"/>
          <a:extLst>
            <a:ext uri="{FF2B5EF4-FFF2-40B4-BE49-F238E27FC236}">
              <a16:creationId xmlns:a16="http://schemas.microsoft.com/office/drawing/2014/main" id="{B2EA68ED-3EAC-172F-558D-93F94A991560}"/>
            </a:ext>
          </a:extLst>
        </xdr:cNvPr>
        <xdr:cNvSpPr/>
      </xdr:nvSpPr>
      <xdr:spPr>
        <a:xfrm>
          <a:off x="6055360" y="5803900"/>
          <a:ext cx="2832100" cy="4318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400" b="1">
              <a:solidFill>
                <a:srgbClr val="FFFFFF"/>
              </a:solidFill>
            </a:rPr>
            <a:t>4. AI Report (PDF + HTML)</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15253</xdr:colOff>
      <xdr:row>40</xdr:row>
      <xdr:rowOff>109742</xdr:rowOff>
    </xdr:to>
    <xdr:pic>
      <xdr:nvPicPr>
        <xdr:cNvPr id="2" name="DailyChart">
          <a:extLst>
            <a:ext uri="{FF2B5EF4-FFF2-40B4-BE49-F238E27FC236}">
              <a16:creationId xmlns:a16="http://schemas.microsoft.com/office/drawing/2014/main" id="{25D2F0C8-B256-49BD-9C7D-FF6276667229}"/>
            </a:ext>
          </a:extLst>
        </xdr:cNvPr>
        <xdr:cNvPicPr>
          <a:picLocks noChangeAspect="1"/>
        </xdr:cNvPicPr>
      </xdr:nvPicPr>
      <xdr:blipFill>
        <a:blip xmlns:r="http://schemas.openxmlformats.org/officeDocument/2006/relationships" r:embed="rId1"/>
        <a:stretch>
          <a:fillRect/>
        </a:stretch>
      </xdr:blipFill>
      <xdr:spPr>
        <a:xfrm>
          <a:off x="0" y="365760"/>
          <a:ext cx="6720853" cy="7059182"/>
        </a:xfrm>
        <a:prstGeom prst="rect">
          <a:avLst/>
        </a:prstGeom>
      </xdr:spPr>
    </xdr:pic>
    <xdr:clientData/>
  </xdr:twoCellAnchor>
  <xdr:twoCellAnchor editAs="oneCell">
    <xdr:from>
      <xdr:col>11</xdr:col>
      <xdr:colOff>0</xdr:colOff>
      <xdr:row>2</xdr:row>
      <xdr:rowOff>0</xdr:rowOff>
    </xdr:from>
    <xdr:to>
      <xdr:col>22</xdr:col>
      <xdr:colOff>198134</xdr:colOff>
      <xdr:row>40</xdr:row>
      <xdr:rowOff>109742</xdr:rowOff>
    </xdr:to>
    <xdr:pic>
      <xdr:nvPicPr>
        <xdr:cNvPr id="3" name="WeeklyChart">
          <a:extLst>
            <a:ext uri="{FF2B5EF4-FFF2-40B4-BE49-F238E27FC236}">
              <a16:creationId xmlns:a16="http://schemas.microsoft.com/office/drawing/2014/main" id="{47281FC0-7894-437F-B578-CB319860774F}"/>
            </a:ext>
          </a:extLst>
        </xdr:cNvPr>
        <xdr:cNvPicPr>
          <a:picLocks noChangeAspect="1"/>
        </xdr:cNvPicPr>
      </xdr:nvPicPr>
      <xdr:blipFill>
        <a:blip xmlns:r="http://schemas.openxmlformats.org/officeDocument/2006/relationships" r:embed="rId2"/>
        <a:stretch>
          <a:fillRect/>
        </a:stretch>
      </xdr:blipFill>
      <xdr:spPr>
        <a:xfrm>
          <a:off x="6705600" y="365760"/>
          <a:ext cx="6903734" cy="705918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560A8-0245-4EC6-9712-3DD3508E6809}" name="Table80" displayName="Table80" ref="A3:E51" totalsRowShown="0" headerRowDxfId="25">
  <autoFilter ref="A3:E51" xr:uid="{F26C48FE-9166-45EA-B189-16AA9D4AB429}"/>
  <tableColumns count="5">
    <tableColumn id="1" xr3:uid="{484E2986-0366-47D0-90CA-79EAB1FD9A27}" name="Metric"/>
    <tableColumn id="2" xr3:uid="{066A32EF-A263-4206-964C-02C70C3E66AC}" name="31-12-2025" dataDxfId="24"/>
    <tableColumn id="3" xr3:uid="{0E639A17-C9EC-44AD-8C54-CE34E8477F31}" name="31-12-2024" dataDxfId="23"/>
    <tableColumn id="4" xr3:uid="{02B98108-D4EB-49CF-9694-B96CFE8741DF}" name="31-12-2023" dataDxfId="22"/>
    <tableColumn id="5" xr3:uid="{777F3F25-500F-44D1-BE1B-FA28D7A05F8B}" name="31-12-2022"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C8057-40D8-47E3-BEAB-21F44A13F6AE}" name="Table81" displayName="Table81" ref="A3:F79" totalsRowShown="0" headerRowDxfId="20">
  <autoFilter ref="A3:F79" xr:uid="{64BC4D29-E134-46F0-BBD8-5E9EB19352D9}"/>
  <tableColumns count="6">
    <tableColumn id="1" xr3:uid="{CC3C371C-3D03-497E-A5C5-72BFA9D31AF2}" name="Metric"/>
    <tableColumn id="2" xr3:uid="{59B090FC-C43B-4CBD-ABA8-16AAF1E0F51F}" name="31-12-2025" dataDxfId="19"/>
    <tableColumn id="3" xr3:uid="{E7F53240-6276-4258-A1E3-C99BAC89C5F6}" name="31-12-2024" dataDxfId="18"/>
    <tableColumn id="4" xr3:uid="{11E906B6-712C-4ADF-AB12-37EE641B2B4D}" name="31-12-2023" dataDxfId="17"/>
    <tableColumn id="5" xr3:uid="{C1D09E2F-6CBE-407C-8C4D-C71E09005291}" name="31-12-2022" dataDxfId="16"/>
    <tableColumn id="6" xr3:uid="{06F96985-7369-4910-A189-D0BA96DD5B3E}" name="31-12-2021"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F165C9-4322-43A8-A80F-C3A5872F30BC}" name="Table82" displayName="Table82" ref="A3:F58" totalsRowShown="0" headerRowDxfId="14">
  <autoFilter ref="A3:F58" xr:uid="{90F816A2-F984-4D75-ADEA-EE6CA8DD5187}"/>
  <tableColumns count="6">
    <tableColumn id="1" xr3:uid="{06C03BE4-67A2-43FC-9F49-D4035D387C52}" name="Metric"/>
    <tableColumn id="2" xr3:uid="{D3BBBD2C-C11F-4AD2-B1F0-849679E79DA7}" name="31-12-2025" dataDxfId="13"/>
    <tableColumn id="3" xr3:uid="{60D3AAC5-F3CE-433C-AB8E-721D632C7990}" name="31-12-2024" dataDxfId="12"/>
    <tableColumn id="4" xr3:uid="{73BEED1D-47C1-4826-9326-474726908756}" name="31-12-2023" dataDxfId="11"/>
    <tableColumn id="5" xr3:uid="{3FBDEDA1-AF04-4DC4-B91D-F14B16050F57}" name="31-12-2022" dataDxfId="10"/>
    <tableColumn id="6" xr3:uid="{AF05A5AE-6C1F-4ACF-A9F4-5CE2CB468854}" name="31-12-2021"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80050B-CEA3-485B-8897-4B7C30153506}" name="Table83" displayName="Table83" ref="A3:G53" totalsRowShown="0" headerRowDxfId="8">
  <autoFilter ref="A3:G53" xr:uid="{A1324774-6CBF-4631-AFD1-C4EA063AB729}"/>
  <tableColumns count="7">
    <tableColumn id="1" xr3:uid="{BD8224CE-7B37-48B6-BEAD-E074BC7EE958}" name="Metric"/>
    <tableColumn id="2" xr3:uid="{E1F8BB24-2BEB-4E75-87A2-A86DAA21F1B5}" name="30-06-2026" dataDxfId="7"/>
    <tableColumn id="3" xr3:uid="{6DCF8884-A088-4ABA-A848-5CF452FF36E4}" name="31-03-2026" dataDxfId="6"/>
    <tableColumn id="4" xr3:uid="{C1521781-25AB-44AE-9D03-8F7D4141A5B0}" name="31-12-2025" dataDxfId="5"/>
    <tableColumn id="5" xr3:uid="{8986BF6E-F2A7-4FF4-BFF7-9B65406012A1}" name="30-09-2025" dataDxfId="4"/>
    <tableColumn id="6" xr3:uid="{8288C80C-40E0-4E33-910D-594F5F820D04}" name="30-06-2025" dataDxfId="3"/>
    <tableColumn id="7" xr3:uid="{5F11F1E7-5B52-4068-8D4C-AD4A9E7BF3D9}" name="31-03-2025"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29B21D-B5EB-46E9-B80B-C19CC9517AAA}" name="Table84" displayName="Table84" ref="A2:R128" totalsRowShown="0">
  <autoFilter ref="A2:R128" xr:uid="{0F05DFE1-9ACF-41AB-9E70-434E3D6D13A6}"/>
  <tableColumns count="18">
    <tableColumn id="1" xr3:uid="{B7DA9A40-55C7-46F9-898D-0C7F59785EF6}" name="DATE" dataDxfId="1"/>
    <tableColumn id="2" xr3:uid="{A1D197BF-31E8-4783-84BE-7C54FA688B41}" name="OPEN"/>
    <tableColumn id="3" xr3:uid="{BCCC5935-0FB7-4FD0-85A5-5CE75E99B65D}" name="HIGH"/>
    <tableColumn id="4" xr3:uid="{3285E398-D104-4DFA-AAFD-C600CA80B0B5}" name="LOW"/>
    <tableColumn id="5" xr3:uid="{14956FA0-C896-4429-BFDF-B5D475726530}" name="CLOSE"/>
    <tableColumn id="6" xr3:uid="{B60F017D-9722-4E31-90A8-C6B9E830EDEB}" name="VOLUME"/>
    <tableColumn id="7" xr3:uid="{2C757D4D-DAB5-4197-95F1-4436CC2F6A95}" name="EMA_12"/>
    <tableColumn id="8" xr3:uid="{6D2DBE36-9A3C-4CF3-80EA-32E67EBE61A6}" name="EMA_26"/>
    <tableColumn id="9" xr3:uid="{BEA1357D-22EC-4F02-9153-1678824540C7}" name="RSI_14"/>
    <tableColumn id="10" xr3:uid="{62A26C5A-77BC-4893-8648-C7DA73CE24DE}" name="ROC_14"/>
    <tableColumn id="11" xr3:uid="{F06F4F0A-3D38-43B9-AF9F-6E44D78AE42B}" name="MACD_12_26"/>
    <tableColumn id="12" xr3:uid="{E95B909E-6D6E-4866-A839-C4FBF01D2842}" name="MACD_SIGNAL_9"/>
    <tableColumn id="13" xr3:uid="{D202FEAD-3940-4BC3-854A-60F028985529}" name="BB_UPPER_20_2"/>
    <tableColumn id="14" xr3:uid="{82426CF1-7021-4DEE-9D5B-4A9ADACF5BB5}" name="BB_MIDDLE_20"/>
    <tableColumn id="15" xr3:uid="{B30B1D30-EC27-4B51-82AC-086A30A3A3C1}" name="BB_LOWER_20_2"/>
    <tableColumn id="16" xr3:uid="{C0222A13-6FB1-4199-8DAD-AE30D1AD182E}" name="STOCH_K_14"/>
    <tableColumn id="17" xr3:uid="{BB4996EF-F6DB-47D3-8401-BA5D8CD8DC15}" name="STOCH_D_3"/>
    <tableColumn id="18" xr3:uid="{8770A27A-45A8-4904-950D-A71C65EF50A3}" name="WILLIAMS_R_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8EA6FC-FF5E-4C57-A021-F07AE1D70F55}" name="Table85" displayName="Table85" ref="A2:R159" totalsRowShown="0">
  <autoFilter ref="A2:R159" xr:uid="{FBE64072-16CC-4345-A105-92D5DCA89C64}"/>
  <tableColumns count="18">
    <tableColumn id="1" xr3:uid="{16F13E37-87F9-4EC1-BF22-89BFFB6A9869}" name="DATE" dataDxfId="0"/>
    <tableColumn id="2" xr3:uid="{F0B98C4B-FDA0-4519-80E1-2384A34D0565}" name="OPEN"/>
    <tableColumn id="3" xr3:uid="{F0E0E9FE-74F6-4EA1-80C7-2597A22BE032}" name="HIGH"/>
    <tableColumn id="4" xr3:uid="{AA3BDE19-077F-4967-8BFB-28E0B6B4955E}" name="LOW"/>
    <tableColumn id="5" xr3:uid="{A5AA3819-02BB-4D4E-98A2-80821C7F6B6F}" name="CLOSE"/>
    <tableColumn id="6" xr3:uid="{829C8519-9342-4D3E-B22F-1B76D8D21502}" name="VOLUME"/>
    <tableColumn id="7" xr3:uid="{04EA8048-CD8E-4EE9-955C-2B563F01AEA9}" name="EMA_12"/>
    <tableColumn id="8" xr3:uid="{8917AC6A-E002-4452-8BC4-09B621F2A2C8}" name="EMA_26"/>
    <tableColumn id="9" xr3:uid="{E9D5F4C9-A952-4DF1-ADA1-2D137B29CDCD}" name="RSI_14"/>
    <tableColumn id="10" xr3:uid="{7EFAD1C9-D977-42E2-A154-FE420206A59E}" name="ROC_14"/>
    <tableColumn id="11" xr3:uid="{65F23886-AD30-4817-8FAF-751FA25DE0FC}" name="MACD_12_26"/>
    <tableColumn id="12" xr3:uid="{CAE74824-015F-4791-8DF9-7A74F6C47B54}" name="MACD_SIGNAL_9"/>
    <tableColumn id="13" xr3:uid="{245CC643-B440-4C8C-AD55-74FE34FDAE1A}" name="BB_UPPER_20_2"/>
    <tableColumn id="14" xr3:uid="{0576F7C3-B331-4721-B2B8-EB1DAF71E56A}" name="BB_MIDDLE_20"/>
    <tableColumn id="15" xr3:uid="{9B20FF25-A72D-4497-897F-EA4E0BC06417}" name="BB_LOWER_20_2"/>
    <tableColumn id="16" xr3:uid="{46833034-58C8-44AD-B76D-892B1F5D8E81}" name="STOCH_K_14"/>
    <tableColumn id="17" xr3:uid="{18F7ECD6-8AC8-45F8-817A-E9FD66695458}" name="STOCH_D_3"/>
    <tableColumn id="18" xr3:uid="{1B2FC7F9-BB83-40D4-B254-91DF3057F4D2}" name="WILLIAMS_R_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9C9D73-18BC-4703-85D5-9E3765795B96}">
  <we:reference id="wa200008175" version="1.0.0.0" store="en-IN" storeType="OMEX"/>
  <we:alternateReferences>
    <we:reference id="WA200008175" version="1.0.0.0" store="WA200008175" storeType="OMEX"/>
  </we:alternateReferences>
  <we:properties>
    <we:property name="main.py" value="&quot;\&quot;\&quot;\&quot;YLENS: Yahoo Finance Analyzer in Excel with xlwings Lite.\n\n1. Company Profile: company details, valuation, dividends, share statistics and key executives.\n2. Financial Statements: annual P&amp;L, balance sheet and cash flow, and quarterly P&amp;L.\n3. Prices &amp; Charts: daily prices, weekly bars, indicators computed in pandas, charts with matplotlib.\n4. AI Report: the TIGZIG Technical Analysis API writes a report from the charts and indicators (PDF + HTML).\nData comes from the TIGZIG Yahoo Finance API (yfin-h.tigzig.com). Both APIs are open (no key) and allow\nrequests from xlwings Lite (CORS origin addin.xlwings.org).\n\&quot;\&quot;\&quot;\nimport asyncio\nimport datetime as dt\nimport json\nfrom typing import Any, Optional, Tuple\nfrom urllib.parse import quote\n\nimport matplotlib.pyplot as plt\nimport numpy as np\nimport pandas as pd\nimport xlwings as xw\nfrom pyodide.http import pyfetch\nfrom xlwings import script\n\nCONTROL = \&quot;MASTER\&quot;\nSYMBOL_CELL = \&quot;C7\&quot;\nDATE_CELLS = {\&quot;daily_start\&quot;: \&quot;C8\&quot;, \&quot;daily_end\&quot;: \&quot;C9\&quot;, \&quot;weekly_start\&quot;: \&quot;C10\&quot;, \&quot;weekly_end\&quot;: \&quot;C11\&quot;}\nMODEL_CELL = \&quot;C12\&quot;         # report model; empty = the API default (Claude Sonnet 5.5)\nSTATUS_CELL = \&quot;A23\&quot;\nLINK_ROW = 25              # A25 PDF link, A26 HTML link, A27:A28 the raw URLs\nYFIN_API = \&quot;https://yfin-h.tigzig.com\&quot;\nPRICES_API = f\&quot;{YFIN_API}/get-all-prices/\&quot;\nREPORT_API = \&quot;https://ta.tigzig.com/v1/technical-analysis\&quot;\n\nBLUE, ORANGE, GREY = \&quot;#1F4E79\&quot;, \&quot;#E67E22\&quot;, \&quot;#7F7F7F\&quot;\nRED = \&quot;#C00000\&quot;\n\n\n# -------------------------\n# Small helpers\n# -------------------------\ndef set_status(book: xw.Book, text: str, ok: bool):\n    cell = book.sheets[CONTROL][STATUS_CELL]\n    cell.value = text\n    cell.font.bold = True\n    cell.font.size = 12 if ok else 14\n    cell.font.color = BLUE if ok else RED\n\n\ndef to_date(value: Any) -&gt; Optional[dt.date]:\n    \&quot;\&quot;\&quot;Excel date, serial number or 'YYYY-MM-DD' text -&gt; date. Empty -&gt; None.\&quot;\&quot;\&quot;\n    if value is None or value == \&quot;\&quot;:\n        return None\n    if isinstance(value, dt.datetime):\n        return value.date()\n    if isinstance(value, dt.date):\n        return value\n    if isinstance(value, (int, float)):\n        return dt.date(1899, 12, 30) + dt.timedelta(days=int(value))\n    return dt.date.fromisoformat(str(value).strip()[:10])\n\n\ndef read_inputs(book: xw.Book) -&gt; Tuple[str, dict]:\n    \&quot;\&quot;\&quot;Symbol and the four dates. Empty dates: daily = last 6 months, weekly = last 3 years, ending today.\&quot;\&quot;\&quot;\n    c = book.sheets[CONTROL]\n    symbol = str(c[SYMBOL_CELL].value or \&quot;\&quot;).strip().upper()\n    raw = {k: to_date(c[a].value) for k, a in DATE_CELLS.items()}\n    today = dt.date.today()\n    daily_end = raw[\&quot;daily_end\&quot;] or today\n    weekly_end = raw[\&quot;weekly_end\&quot;] or today\n    daily_start = raw[\&quot;daily_start\&quot;] or daily_end - dt.timedelta(days=182)\n    weekly_start = raw[\&quot;weekly_start\&quot;] or weekly_end - dt.timedelta(days=3 * 365)\n    if daily_start &gt;= daily_end or weekly_start &gt;= weekly_end:\n        raise ValueError(\&quot;each start date must be before its end date\&quot;)\n    return symbol, {\&quot;daily_start\&quot;: daily_start, \&quot;daily_end\&quot;: daily_end,\n                    \&quot;weekly_start\&quot;: weekly_start, \&quot;weekly_end\&quot;: weekly_end}\n\n\ndef replace_sheet(book: xw.Book, name: str, after: xw.Sheet) -&gt; xw.Sheet:\n    for sheet in book.sheets:\n        if sheet.name == name:\n            sheet.delete()\n    return book.sheets.add(name=name, after=after)\n\n\n# -------------------------\n# Company profile and financial statements\n# -------------------------\nPROFILE_SECTIONS = {\n    \&quot;1. Company Information\&quot;: [\n        \&quot;longBusinessSummary\&quot;, \&quot;fullTimeEmployees\&quot;, \&quot;address1\&quot;, \&quot;address2\&quot;, \&quot;city\&quot;, \&quot;zip\&quot;, \&quot;country\&quot;, \&quot;phone\&quot;, \&quot;fax\&quot;, \&quot;website\&quot;,\n        \&quot;industry\&quot;, \&quot;industryKey\&quot;, \&quot;industryDisp\&quot;, \&quot;sector\&quot;, \&quot;sectorKey\&quot;, \&quot;sectorDisp\&quot;,\n        \&quot;symbol\&quot;, \&quot;longName\&quot;, \&quot;shortName\&quot;, \&quot;displayName\&quot;, \&quot;typeDisp\&quot;, \&quot;quoteType\&quot;,\n        \&quot;language\&quot;, \&quot;region\&quot;, \&quot;market\&quot;, \&quot;exchange\&quot;, \&quot;exchangeTimezoneName\&quot;,\n        \&quot;exchangeTimezoneShortName\&quot;, \&quot;fullExchangeName\&quot;, \&quot;messageBoardId\&quot;, \&quot;irWebsite\&quot;,\n        \&quot;corporateActions\&quot;, \&quot;executiveTeam\&quot;, \&quot;maxAge\&quot;\n    ],\n    \&quot;2. Stock Price &amp; Market Activity\&quot;: [\n        \&quot;currentPrice\&quot;, \&quot;previousClose\&quot;, \&quot;open\&quot;, \&quot;dayLow\&quot;, \&quot;dayHigh\&quot;,\n        \&quot;regularMarketPrice\&quot;, \&quot;regularMarketPreviousClose\&quot;, \&quot;regularMarketOpen\&quot;,\n        \&quot;regularMarketDayLow\&quot;, \&quot;regularMarketDayHigh\&quot;, \&quot;regularMarketChange\&quot;,\n        \&quot;regularMarketChangePercent\&quot;, \&quot;regularMarketVolume\&quot;, \&quot;volume\&quot;,\n        \&quot;averageVolume\&quot;, \&quot;averageVolume3Month\&quot;, \&quot;averageVolume10days\&quot;,\n        \&quot;averageDailyVolume10Day\&quot;, \&quot;regularMarketDayRange\&quot;, \&quot;bid\&quot;, \&quot;ask\&quot;,\n        \&quot;bidSize\&quot;, \&quot;askSize\&quot;, \&quot;priceHint\&quot;, \&quot;preMarketPrice\&quot;, \&quot;preMarketTime\&quot;,\n        \&quot;preMarketChange\&quot;, \&quot;preMarketChangePercent\&quot;, \&quot;marketState\&quot;,\n        \&quot;hasPrePostMarketData\&quot;, \&quot;quoteSourceName\&quot;, \&quot;triggerable\&quot;,\n        \&quot;customPriceAlertConfidence\&quot;, \&quot;gmtOffSetMilliseconds\&quot;, \&quot;exchangeDataDelayedBy\&quot;\n    ],\n    \&quot;3. Valuation &amp; Ratios\&quot;: [\n        \&quot;marketCap\&quot;, \&quot;enterpriseValue\&quot;, \&quot;priceToSalesTrailing12Months\&quot;,\n        \&quot;priceToBook\&quot;, \&quot;trailingPE\&quot;, \&quot;forwardPE\&quot;, \&quot;trailingPegRatio\&quot;, \&quot;beta\&quot;,\n        \&quot;enterpriseToRevenue\&quot;, \&quot;enterpriseToEbitda\&quot;, \&quot;payoutRatio\&quot;, \&quot;debtToEquity\&quot;,\n        \&quot;recommendationMean\&quot;, \&quot;recommendationKey\&quot;, \&quot;numberOfAnalystOpinions\&quot;,\n        \&quot;averageAnalystRating\&quot;, \&quot;priceEpsCurrentYear\&quot;\n    ],\n    \&quot;4. Dividend Information\&quot;: [\n        \&quot;dividendRate\&quot;, \&quot;dividendYield\&quot;, \&quot;trailingAnnualDividendRate\&quot;,\n        \&quot;trailingAnnualDividendYield\&quot;, \&quot;fiveYearAvgDividendYield\&quot;,\n        \&quot;lastDividendValue\&quot;, \&quot;lastDividendDate\&quot;, \&quot;dividendDate\&quot;, \&quot;exDividendDate\&quot;\n    ],\n    \&quot;5. Earnings &amp; Financials\&quot;: [\n        \&quot;trailingEps\&quot;, \&quot;forwardEps\&quot;, \&quot;epsTrailingTwelveMonths\&quot;, \&quot;epsForward\&quot;,\n        \&quot;epsCurrentYear\&quot;, \&quot;netIncomeToCommon\&quot;, \&quot;totalRevenue\&quot;, \&quot;revenuePerShare\&quot;,\n        \&quot;grossProfits\&quot;, \&quot;ebitda\&quot;, \&quot;operatingCashflow\&quot;, \&quot;freeCashflow\&quot;,\n        \&quot;totalCash\&quot;, \&quot;totalCashPerShare\&quot;, \&quot;totalDebt\&quot;, \&quot;bookValue\&quot;,\n        \&quot;earningsGrowth\&quot;, \&quot;revenueGrowth\&quot;, \&quot;earningsQuarterlyGrowth\&quot;,\n        \&quot;returnOnAssets\&quot;, \&quot;returnOnEquity\&quot;, \&quot;grossMargins\&quot;, \&quot;operatingMargins\&quot;,\n        \&quot;ebitdaMargins\&quot;, \&quot;quickRatio\&quot;, \&quot;currentRatio\&quot;, \&quot;financialCurrency\&quot;\n    ],\n    \&quot;6. Share Statistics\&quot;: [\n        \&quot;sharesOutstanding\&quot;, \&quot;impliedSharesOutstanding\&quot;, \&quot;floatShares\&quot;,\n        \&quot;sharesShort\&quot;, \&quot;sharesShortPriorMonth\&quot;, \&quot;sharesShortPreviousMonthDate\&quot;,\n        \&quot;dateShortInterest\&quot;, \&quot;sharesPercentSharesOut\&quot;, \&quot;shortPercentOfFloat\&quot;,\n        \&quot;shortRatio\&quot;, \&quot;heldPercentInsiders\&quot;, \&quot;heldPercentInstitutions\&quot;\n    ],\n    \&quot;7. Analyst Price Targets\&quot;: [\n        \&quot;targetHighPrice\&quot;, \&quot;targetLowPrice\&quot;, \&quot;targetMeanPrice\&quot;, \&quot;targetMedianPrice\&quot;\n    ],\n    \&quot;8. Technical Indicators\&quot;: [\n        \&quot;fiftyDayAverage\&quot;, \&quot;fiftyDayAverageChange\&quot;, \&quot;fiftyDayAverageChangePercent\&quot;,\n        \&quot;twoHundredDayAverage\&quot;, \&quot;twoHundredDayAverageChange\&quot;,\n        \&quot;twoHundredDayAverageChangePercent\&quot;, \&quot;fiftyTwoWeekLow\&quot;, \&quot;fiftyTwoWeekHigh\&quot;,\n        \&quot;fiftyTwoWeekLowChange\&quot;, \&quot;fiftyTwoWeekLowChangePercent\&quot;,\n        \&quot;fiftyTwoWeekHighChange\&quot;, \&quot;fiftyTwoWeekHighChangePercent\&quot;,\n        \&quot;fiftyTwoWeekRange\&quot;, \&quot;fiftyTwoWeekChange\&quot;, \&quot;fiftyTwoWeekChangePercent\&quot;,\n        \&quot;SandP52WeekChange\&quot;, \&quot;52WeekChange\&quot;\n    ],\n    \&quot;9. Earnings Call / Fiscal Calendar\&quot;: [\n        \&quot;lastFiscalYearEnd\&quot;, \&quot;nextFiscalYearEnd\&quot;, \&quot;mostRecentQuarter\&quot;,\n        \&quot;earningsTimestamp\&quot;, \&quot;earningsTimestampStart\&quot;, \&quot;earningsTimestampEnd\&quot;,\n        \&quot;earningsCallTimestampStart\&quot;, \&quot;earningsCallTimestampEnd\&quot;,\n        \&quot;isEarningsDateEstimate\&quot;\n    ],\n    \&quot;10. Other\&quot;: [\n        \&quot;lastSplitFactor\&quot;, \&quot;lastSplitDate\&quot;, \&quot;firstTradeDateMilliseconds\&quot;,\n        \&quot;esgPopulated\&quot;, \&quot;cryptoTradeable\&quot;, \&quot;tradeable\&quot;, \&quot;sourceInterval\&quot;\n    ]\n}\n\n\nSTATEMENTS = [  # sheet, endpoint, title\n    (\&quot;PL\&quot;, \&quot;excel/get-income-statement\&quot;, \&quot;Income statement (annual)\&quot;),\n    (\&quot;BS\&quot;, \&quot;excel/get-balance-sheet\&quot;, \&quot;Balance sheet (annual)\&quot;),\n    (\&quot;CF\&quot;, \&quot;excel/get-cash-flow\&quot;, \&quot;Cash flow (annual)\&quot;),\n    (\&quot;QTLY\&quot;, \&quot;excel/get-quarterly-income-statement\&quot;, \&quot;Income statement (quarterly)\&quot;),\n]\n\n\ndef last_sheet(book: xw.Book, default: xw.Sheet) -&gt; xw.Sheet:\n    \&quot;\&quot;\&quot;Price sheets go after the profile and statement sheets when they exist, else after MASTER.\&quot;\&quot;\&quot;\n    names = [s.name for s in book.sheets]\n    for name in (\&quot;QTLY\&quot;, \&quot;CF\&quot;, \&quot;BS\&quot;, \&quot;PL\&quot;, \&quot;PROFILE\&quot;):\n        if name in names:\n            return book.sheets[name]\n    return default\n\n\nasync def get_json(path: str, symbol: str) -&gt; dict:\n    \&quot;\&quot;\&quot;GET a yfin endpoint for one symbol; returns that symbol's block or raises with a readable message.\&quot;\&quot;\&quot;\n    r = await pyfetch(f\&quot;{YFIN_API}/{path}/?tickers={quote(symbol)}\&quot;)\n    text = await r.text()\n    if not r.ok:\n        raise RuntimeError(f\&quot;{path} HTTP {r.status}: {text[:200]}\&quot;)\n    data = json.loads(text)\n    block = data.get(symbol) if isinstance(data, dict) else None\n    if not isinstance(block, dict):\n        raise RuntimeError(f\&quot;no data for {symbol}. Check the Yahoo Finance symbol.\&quot;)\n    if block.get(\&quot;error\&quot;):\n        raise RuntimeError(f\&quot;{symbol}: {block['error']}\&quot;)\n    return block\n\n\ndef cell_value(v: Any) -&gt; Any:\n    \&quot;\&quot;\&quot;Numbers, text and booleans as they are; lists and dicts as short JSON text.\&quot;\&quot;\&quot;\n    if isinstance(v, (list, dict)):\n        return json.dumps(v)[:500]\n    return v\n\n\ndef read_symbol(book: xw.Book) -&gt; str:\n    symbol = str(book.sheets[CONTROL][SYMBOL_CELL].value or \&quot;\&quot;).strip().upper()\n    if not symbol:\n        raise ValueError(f\&quot;Type a Yahoo Finance symbol in {SYMBOL_CELL}, for example GOOG or RELIANCE.NS.\&quot;)\n    return symbol\n\n\n@script(name=\&quot;1. Company Profile\&quot;, button=\&quot;[btn_profile]MASTER!C14\&quot;)\nasync def get_profile(book: xw.Book):\n    \&quot;\&quot;\&quot;Company details, market data, valuation, dividends, share statistics and key executives.\&quot;\&quot;\&quot;\n    try:\n        symbol = read_symbol(book)\n    except ValueError as e:\n        set_status(book, f\&quot;\u274c {e}\&quot;, ok=False)\n        return\n    set_status(book, f\&quot;\u23f3 Pulling the profile for {symbol} ...\&quot;, ok=True)\n    await book.flush()\n    try:\n        block = await get_json(\&quot;get-detailed-info\&quot;, symbol)\n    except Exception as e:\n        print(f\&quot;\u274c {e}\&quot;)\n        set_status(book, f\&quot;\u274c {e}\&quot;, ok=False)\n        return\n    info, officers = block.get(\&quot;main_info\&quot;) or {}, block.get(\&quot;officers\&quot;) or []\n    sh = replace_sheet(book, \&quot;PROFILE\&quot;, book.sheets[CONTROL])\n    sh[\&quot;A1\&quot;].value = f\&quot;Company profile: {symbol} ({info.get('longName') or info.get('shortName') or ''})\&quot;\n    sh[\&quot;A1\&quot;].font.bold = True\n    row, written = 3, 0\n    for section, fields in PROFILE_SECTIONS.items():\n        rows = [[f, cell_value(info[f])] for f in fields if info.get(f) not in (None, \&quot;\&quot;, [], {})]\n        if not rows:\n            continue\n        sh[f\&quot;A{row}\&quot;].value = section\n        sh[f\&quot;A{row}\&quot;].font.bold = True\n        sh[f\&quot;A{row}\&quot;].font.color = BLUE\n        for k, (_, v) in enumerate(rows):\n            if isinstance(v, str):  # keep text as text: \&quot;20:1\&quot; would become a time, \&quot;94043\&quot; a number\n                sh[f\&quot;B{row + 2 + k}\&quot;].number_format = \&quot;@\&quot;\n        sh[f\&quot;A{row + 1}\&quot;].value = [[\&quot;Item\&quot;, \&quot;Value\&quot;]] + rows\n        sh[f\&quot;A{row + 1}:B{row + 1}\&quot;].font.bold = True\n        written += len(rows)\n        row += len(rows) + 3\n    if officers:\n        sh[f\&quot;A{row}\&quot;].value = \&quot;11. Key Executives\&quot;\n        sh[f\&quot;A{row}\&quot;].font.bold = True\n        sh[f\&quot;A{row}\&quot;].font.color = BLUE\n        table = [[\&quot;Name\&quot;, \&quot;Title\&quot;, \&quot;Age\&quot;, \&quot;Total Pay\&quot;]] + [\n            [o.get(\&quot;name\&quot;), o.get(\&quot;title\&quot;), o.get(\&quot;age\&quot;), o.get(\&quot;totalPay\&quot;)] for o in officers]\n        sh[f\&quot;A{row + 1}\&quot;].value = table\n        sh[f\&quot;A{row + 1}:D{row + 1}\&quot;].font.bold = True\n    msg = f\&quot;\u2705 {symbol}: {written} profile items and {len(officers)} executives on PROFILE.\&quot;\n    print(msg)\n    set_status(book, msg, ok=True)\n    sh.activate()\n\n\n@script(name=\&quot;2. Financial Statements\&quot;, button=\&quot;[btn_fin]MASTER!C16\&quot;)\nasync def get_financials(book: xw.Book):\n    \&quot;\&quot;\&quot;Annual P&amp;L, balance sheet, cash flow and quarterly P&amp;L, one sheet each.\&quot;\&quot;\&quot;\n    try:\n        symbol = read_symbol(book)\n    except ValueError as e:\n        set_status(book, f\&quot;\u274c {e}\&quot;, ok=False)\n        return\n    set_status(book, f\&quot;\u23f3 Pulling financial statements for {symbol} ...\&quot;, ok=True)\n    await book.flush()\n    results = await asyncio.gather(*(get_json(ep, symbol) for _, ep, _ in STATEMENTS), return_exceptions=True)\n    after = book.sheets[\&quot;PROFILE\&quot;] if \&quot;PROFILE\&quot; in [s.name for s in book.sheets] else book.sheets[CONTROL]\n    done, failed = [], []\n    for (name, _, title), res in zip(STATEMENTS, results):\n        if isinstance(res, BaseException):\n            failed.append(f\&quot;{name}: {res}\&quot;)\n            continue\n        dates, data = res.get(\&quot;dates\&quot;) or [], res.get(\&quot;data\&quot;) or []\n        sh = replace_sheet(book, name, after)\n        after = sh\n        sh[\&quot;A1\&quot;].value = f\&quot;{title}: {symbol}. Values as reported by Yahoo Finance, in the reporting currency.\&quot;\n        sh[\&quot;A1\&quot;].font.bold = True\n        table = [[\&quot;Metric\&quot;] + dates] + [[d.get(\&quot;metric\&quot;)] + [d.get(x) for x in dates] for d in data]\n        sh[\&quot;A3\&quot;].value = table\n        if data:\n            sh.tables.add(source=sh[\&quot;A3\&quot;].resize(len(table), len(table[0])))\n            sh[\&quot;B4\&quot;].resize(len(data), len(dates)).number_format = \&quot;#,##0\&quot;\n        done.append(f\&quot;{name} {len(data)} rows\&quot;)\n    if failed:\n        msg = f\&quot;\u274c {symbol}: \&quot; + \&quot;; \&quot;.join(failed) + (f\&quot;. Done: {', '.join(done)}\&quot; if done else \&quot;\&quot;)\n        set_status(book, msg[:400], ok=False)\n    else:\n        set_status(book, f\&quot;\u2705 {symbol}: \&quot; + \&quot;, \&quot;.join(done) + \&quot;.\&quot;, ok=True)\n    print(done, failed)\n\n\n# -------------------------\n# Prices\n# -------------------------\nasync def get_prices(symbol: str, start: dt.date, end: dt.date) -&gt; pd.DataFrame:\n    url = f\&quot;{PRICES_API}?tickers={quote(symbol)}&amp;start_date={start}&amp;end_date={end}\&quot;\n    r = await pyfetch(url)\n    text = await r.text()\n    if not r.ok:\n        try:\n            err = json.loads(text).get(\&quot;error\&quot;, {})\n            text = err.get(\&quot;message\&quot;, text) if isinstance(err, dict) else str(err)\n        except ValueError:\n            pass\n        raise RuntimeError(f\&quot;price API HTTP {r.status}: {text[:300]}\&quot;)\n    data = json.loads(text)\n    if isinstance(data, dict) and data.get(\&quot;error\&quot;):\n        raise RuntimeError(f\&quot;price API: {data['error']}\&quot;)\n    rows = [dict(v[symbol], Date=day) for day, v in data.items() if isinstance(v, dict) and symbol in v]\n    if not rows:\n        raise RuntimeError(f\&quot;no prices for {symbol} between {start} and {end}. Check the Yahoo Finance symbol.\&quot;)\n    df = pd.DataFrame(rows)\n    df[\&quot;Date\&quot;] = pd.to_datetime(df[\&quot;Date\&quot;])\n    df = df.sort_values(\&quot;Date\&quot;).reset_index(drop=True)\n    return df[[\&quot;Date\&quot;, \&quot;Open\&quot;, \&quot;High\&quot;, \&quot;Low\&quot;, \&quot;Close\&quot;, \&quot;Volume\&quot;]]\n\n\ndef weekly_bars(daily: pd.DataFrame) -&gt; pd.DataFrame:\n    \&quot;\&quot;\&quot;Weeks ending Friday: first open, highest high, lowest low, last close, total volume.\&quot;\&quot;\&quot;\n    w = daily.resample(\&quot;W-FRI\&quot;, on=\&quot;Date\&quot;).agg(\n        {\&quot;Open\&quot;: \&quot;first\&quot;, \&quot;High\&quot;: \&quot;max\&quot;, \&quot;Low\&quot;: \&quot;min\&quot;, \&quot;Close\&quot;: \&quot;last\&quot;, \&quot;Volume\&quot;: \&quot;sum\&quot;})\n    return w.dropna().reset_index()\n\n\n# -------------------------\n# Indicators (plain pandas, standard definitions)\n# -------------------------\ndef add_indicators(df: pd.DataFrame) -&gt; pd.DataFrame:\n    out = df.copy()\n    close, high, low = out[\&quot;Close\&quot;], out[\&quot;High\&quot;], out[\&quot;Low\&quot;]\n    out[\&quot;EMA_12\&quot;] = close.ewm(span=12).mean()\n    out[\&quot;EMA_26\&quot;] = close.ewm(span=26).mean()\n    delta = close.diff()\n    gain = delta.clip(lower=0).ewm(alpha=1 / 14).mean()\n    loss = (-delta.clip(upper=0)).ewm(alpha=1 / 14).mean()\n    out[\&quot;RSI_14\&quot;] = 100 - 100 / (1 + gain / loss)\n    out[\&quot;ROC_14\&quot;] = close.pct_change(14) * 100\n    out[\&quot;MACD_12_26\&quot;] = out[\&quot;EMA_12\&quot;] - out[\&quot;EMA_26\&quot;]\n    out[\&quot;MACD_SIGNAL_9\&quot;] = out[\&quot;MACD_12_26\&quot;].ewm(span=9).mean()\n    mid, sd = close.rolling(20).mean(), close.rolling(20).std()\n    out[\&quot;BB_UPPER_20_2\&quot;], out[\&quot;BB_MIDDLE_20\&quot;], out[\&quot;BB_LOWER_20_2\&quot;] = mid + 2 * sd, mid, mid - 2 * sd\n    hh, ll = high.rolling(14).max(), low.rolling(14).min()\n    out[\&quot;STOCH_K_14\&quot;] = (close - ll) / (hh - ll) * 100\n    out[\&quot;STOCH_D_3\&quot;] = out[\&quot;STOCH_K_14\&quot;].rolling(3).mean()\n    out[\&quot;WILLIAMS_R_14\&quot;] = (hh - close) / (hh - ll) * -100\n    return out\n\n\n# -------------------------\n# Charts\n# -------------------------\ndef make_chart(df: pd.DataFrame, symbol: str, frequency: str):\n    \&quot;\&quot;\&quot;Price with EMAs and Bollinger Bands, MACD, RSI and ROC. Blue / orange, no red-green pairs.\&quot;\&quot;\&quot;\n    fig, (ax1, ax2, ax3) = plt.subplots(3, 1, figsize=(8, 8), height_ratios=[2, 1, 1], sharex=True)\n    d = df[\&quot;Date\&quot;]\n    width = max((d.iloc[-1] - d.iloc[0]).days / len(df) * 0.8, 0.5)\n    ax1.plot(d, df[\&quot;Close\&quot;], color=\&quot;black\&quot;, lw=1.4, label=\&quot;Close\&quot;)\n    ax1.plot(d, df[\&quot;BB_UPPER_20_2\&quot;], color=GREY, ls=\&quot;--\&quot;, lw=0.9, label=\&quot;BB upper / lower\&quot;)\n    ax1.plot(d, df[\&quot;BB_LOWER_20_2\&quot;], color=GREY, ls=\&quot;--\&quot;, lw=0.9)\n    ax1.plot(d, df[\&quot;BB_MIDDLE_20\&quot;], color=GREY, ls=\&quot;:\&quot;, lw=0.9, label=\&quot;BB middle\&quot;)\n    ax1.plot(d, df[\&quot;EMA_12\&quot;], color=BLUE, lw=1.8, label=\&quot;EMA 12\&quot;)\n    ax1.plot(d, df[\&quot;EMA_26\&quot;], color=ORANGE, lw=1.8, label=\&quot;EMA 26\&quot;)\n    vol = ax1.twinx()\n    up = df[\&quot;Close\&quot;].diff().fillna(0) &gt;= 0\n    vol.bar(d, df[\&quot;Volume\&quot;], width=width, color=np.where(up, \&quot;#9DC3E6\&quot;, \&quot;#F5CBA7\&quot;), alpha=0.6)\n    vol.set_ylim(0, df[\&quot;Volume\&quot;].max() * 4 if df[\&quot;Volume\&quot;].max() &gt; 0 else 1)\n    vol.set_yticks([])\n    ax1.set_title(f\&quot;{symbol} - price, EMAs and Bollinger Bands ({frequency})\&quot;, fontsize=12, weight=\&quot;bold\&quot;)\n    ax1.legend(loc=\&quot;upper left\&quot;, fontsize=8)\n    hist = df[\&quot;MACD_12_26\&quot;] - df[\&quot;MACD_SIGNAL_9\&quot;]\n    ax2.bar(d, hist, width=width, color=np.where(hist &gt;= 0, \&quot;#9DC3E6\&quot;, \&quot;#F5CBA7\&quot;))\n    ax2.plot(d, df[\&quot;MACD_12_26\&quot;], color=BLUE, lw=1.3, label=\&quot;MACD\&quot;)\n    ax2.plot(d, df[\&quot;MACD_SIGNAL_9\&quot;], color=ORANGE, lw=1.3, label=\&quot;Signal\&quot;)\n    ax2.axhline(0, color=GREY, lw=0.7)\n    ax2.set_title(f\&quot;MACD (12, 26, 9) - {frequency}\&quot;, fontsize=10, weight=\&quot;bold\&quot;)\n    ax2.legend(loc=\&quot;upper left\&quot;, fontsize=8)\n    ax3.plot(d, df[\&quot;RSI_14\&quot;], color=BLUE, lw=1.3, label=\&quot;RSI 14\&quot;)\n    for level in (30, 70):\n        ax3.axhline(level, color=GREY, ls=\&quot;--\&quot;, lw=0.7)\n    ax3.set_ylim(0, 100)\n    roc = ax3.twinx()\n    roc.plot(d, df[\&quot;ROC_14\&quot;], color=ORANGE, lw=1.1, label=\&quot;ROC 14\&quot;)\n    roc.axhline(0, color=GREY, lw=0.5)\n    ax3.set_title(f\&quot;RSI and ROC - {frequency}\&quot;, fontsize=10, weight=\&quot;bold\&quot;)\n    h1, l1 = ax3.get_legend_handles_labels()\n    h2, l2 = roc.get_legend_handles_labels()\n    ax3.legend(h1 + h2, l1 + l2, loc=\&quot;upper left\&quot;, fontsize=8)\n    for ax in (ax1, ax2, ax3):\n        ax.grid(True, alpha=0.2)\n    fig.autofmt_xdate()\n    fig.subplots_adjust(left=0.1, right=0.9, top=0.95, bottom=0.1, hspace=0.35)\n    return fig\n\n\ndef write_prices(book: xw.Book, name: str, after: xw.Sheet, df: pd.DataFrame, title: str) -&gt; xw.Sheet:\n    sh = replace_sheet(book, name, after)\n    sh[\&quot;A1\&quot;].value = title\n    sh[\&quot;A1\&quot;].font.bold = True\n    out = df.copy()\n    out.columns = [c.upper() for c in out.columns]\n    sh[\&quot;A2\&quot;].options(index=False).value = out\n    sh.tables.add(source=sh[\&quot;A2\&quot;].resize(len(out) + 1, out.shape[1]))\n    sh[\&quot;A3\&quot;].resize(len(out), 1).number_format = \&quot;dd-mmm-yyyy\&quot;\n    return sh\n\n\n@script(name=\&quot;3. Prices &amp; Charts\&quot;, button=\&quot;[btn_tech]MASTER!C19\&quot;)\nasync def create_technicals(book: xw.Book):\n    \&quot;\&quot;\&quot;Daily and weekly prices, indicators and charts, all computed inside Excel.\&quot;\&quot;\&quot;\n    try:\n        symbol, d = read_inputs(book)\n    except ValueError as e:\n        set_status(book, f\&quot;\u274c {e}. Dates are in C8:C11 (empty = defaults).\&quot;, ok=False)\n        return\n    if not symbol:\n        set_status(book, f\&quot;\u274c Type a Yahoo Finance symbol in {SYMBOL_CELL}, for example ^NSEI or AAPL.\&quot;, ok=False)\n        return\n    print(f\&quot;\u25b6 {symbol}: daily {d['daily_start']} to {d['daily_end']}, weekly {d['weekly_start']} to {d['weekly_end']}\&quot;)\n    set_status(book, f\&quot;\u23f3 Pulling prices for {symbol} ...\&quot;, ok=True)\n    await book.flush()\n    try:\n        daily = add_indicators(await get_prices(symbol, d[\&quot;daily_start\&quot;], d[\&quot;daily_end\&quot;]))\n        weekly = add_indicators(weekly_bars(await get_prices(symbol, d[\&quot;weekly_start\&quot;], d[\&quot;weekly_end\&quot;])))\n    except Exception as e:\n        print(f\&quot;\u274c {e}\&quot;)\n        set_status(book, f\&quot;\u274c {e}\&quot;, ok=False)\n        return\n    control = book.sheets[CONTROL]\n    fmt = \&quot;%d %b %Y\&quot;\n    ds = write_prices(book, \&quot;PRICES_DAILY\&quot;, last_sheet(book, control), daily,\n                      f\&quot;Daily prices and indicators: {symbol}, {d['daily_start']:{fmt}} to {d['daily_end']:{fmt}}\&quot;)\n    ws = write_prices(book, \&quot;PRICES_WEEKLY\&quot;, ds, weekly,\n                      f\&quot;Weekly prices and indicators (weeks ending Friday): {symbol}, \&quot;\n                      f\&quot;{d['weekly_start']:{fmt}} to {d['weekly_end']:{fmt}}\&quot;)\n    charts = replace_sheet(book, \&quot;CHARTS\&quot;, ws)\n    charts[\&quot;A1\&quot;].value = f\&quot;{symbol}: daily (left) and weekly (right)\&quot;\n    charts[\&quot;A1\&quot;].font.bold = True\n    for df, freq, anchor in ((daily, \&quot;Daily\&quot;, \&quot;A3\&quot;), (weekly, \&quot;Weekly\&quot;, \&quot;L3\&quot;)):\n        fig = make_chart(df, symbol, freq)\n        charts.pictures.add(fig, name=f\&quot;{freq}Chart\&quot;, update=True, anchor=charts[anchor])\n        plt.close(fig)\n    msg = (f\&quot;\u2705 {symbol}: {len(daily)} daily and {len(weekly)} weekly rows, indicators and 2 charts. \&quot;\n           f\&quot;See PRICES_DAILY, PRICES_WEEKLY and CHARTS.\&quot;)\n    print(msg)\n    set_status(book, msg, ok=True)\n    charts.activate()\n\n\n@script(name=\&quot;4. AI Report (PDF + HTML)\&quot;, button=\&quot;[btn_ai]MASTER!C21\&quot;)\nasync def get_ai_report(book: xw.Book):\n    \&quot;\&quot;\&quot;Ask the TIGZIG Technical Analysis API for an AI-written report and show the links.\&quot;\&quot;\&quot;\n    try:\n        symbol, d = read_inputs(book)\n    except ValueError as e:\n        set_status(book, f\&quot;\u274c {e}. Dates are in C8:C11 (empty = defaults).\&quot;, ok=False)\n        return\n    if not symbol:\n        set_status(book, f\&quot;\u274c Type a Yahoo Finance symbol in {SYMBOL_CELL}, for example ^NSEI or AAPL.\&quot;, ok=False)\n        return\n    c = book.sheets[CONTROL]\n    c[f\&quot;A{LINK_ROW}\&quot;].resize(4, 1).clear_contents()\n    set_status(book, f\&quot;\u23f3 Writing the report for {symbol}. This takes about a minute ...\&quot;, ok=True)\n    await book.flush()\n    payload = {\&quot;ticker\&quot;: symbol,\n               \&quot;daily_start_date\&quot;: str(d[\&quot;daily_start\&quot;]), \&quot;daily_end_date\&quot;: str(d[\&quot;daily_end\&quot;]),\n               \&quot;weekly_start_date\&quot;: str(d[\&quot;weekly_start\&quot;]), \&quot;weekly_end_date\&quot;: str(d[\&quot;weekly_end\&quot;])}\n    model = str(c[MODEL_CELL].value or \&quot;\&quot;).strip()\n    if model:\n        payload[\&quot;model\&quot;] = model\n    print(f\&quot;\u25b6 POST {REPORT_API} {payload}\&quot;)\n    r = await pyfetch(REPORT_API, method=\&quot;POST\&quot;, headers={\&quot;Content-Type\&quot;: \&quot;application/json\&quot;},\n                      body=json.dumps(payload))\n    text = await r.text()\n    if not r.ok:\n        try:\n            body = json.loads(text)\n            detail = body.get(\&quot;detail\&quot;) or body.get(\&quot;error\&quot;) or body\n            if isinstance(detail, dict):\n                detail = detail.get(\&quot;message\&quot;) or json.dumps(detail)\n        except ValueError:\n            detail = text\n        hint = \&quot; The API allows 20 reports a day per IP address.\&quot; if r.status == 429 else \&quot;\&quot;\n        set_status(book, f\&quot;\u274c Report API HTTP {r.status}: {str(detail)[:300]}{hint}\&quot;, ok=False)\n        return\n    links = json.loads(text)\n    pdf, html = links.get(\&quot;pdf_url\&quot;, \&quot;\&quot;), links.get(\&quot;html_url\&quot;, \&quot;\&quot;)\n    c[f\&quot;A{LINK_ROW}\&quot;].value = [[f'=HYPERLINK(\&quot;{pdf}\&quot;, \&quot;Open PDF report\&quot;)'],\n                               [f'=HYPERLINK(\&quot;{html}\&quot;, \&quot;Open HTML report\&quot;)'], [pdf], [html]]\n    msg = f\&quot;\u2705 Report ready for {symbol} ({model or 'default model'}). Click the links below (PDF and HTML).\&quot;\n    print(msg, pdf, html)\n    set_status(book, msg, ok=True)\n&quot;"/>
    <we:property name="pyodideVersion" value="&quot;314.0.1&quot;"/>
    <we:property name="addinVersion" value="&quot;1.0.0.0-18&quot;"/>
    <we:property name="requirements.txt" value="&quot;# Versions are automatically pinned in\n# requirements-pinned.txt\nxlwings  # required\npyodide-http  # required\npandas\nmatplotlib\n&quot;"/>
    <we:property name="xlwingsSettingsWorkbook" value="&quot;{\&quot;startupBehavior\&quot;:\&quot;taskpane\&quot;,\&quot;workbookMode\&quot;:\&quot;developer\&quot;,\&quot;appModeShowOutput\&quot;:false,\&quot;usePinnedRequirements\&quot;:true,\&quot;pyodideVersion\&quot;:\&quot;314.0.1\&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F9089-3423-4FEE-91CA-29C9C2CE8E53}">
  <dimension ref="A1:B19"/>
  <sheetViews>
    <sheetView tabSelected="1" workbookViewId="0"/>
  </sheetViews>
  <sheetFormatPr defaultRowHeight="14.4" x14ac:dyDescent="0.3"/>
  <cols>
    <col min="1" max="1" width="28.77734375" customWidth="1"/>
    <col min="2" max="2" width="110.77734375" customWidth="1"/>
  </cols>
  <sheetData>
    <row r="1" spans="1:2" ht="21" x14ac:dyDescent="0.4">
      <c r="A1" s="21" t="s">
        <v>466</v>
      </c>
    </row>
    <row r="2" spans="1:2" ht="34.049999999999997" customHeight="1" x14ac:dyDescent="0.3">
      <c r="A2" s="22" t="s">
        <v>467</v>
      </c>
      <c r="B2" s="22"/>
    </row>
    <row r="4" spans="1:2" ht="17.399999999999999" x14ac:dyDescent="0.35">
      <c r="A4" s="23" t="s">
        <v>468</v>
      </c>
    </row>
    <row r="5" spans="1:2" ht="46.8" x14ac:dyDescent="0.3">
      <c r="A5" s="24" t="s">
        <v>407</v>
      </c>
      <c r="B5" s="25" t="s">
        <v>469</v>
      </c>
    </row>
    <row r="6" spans="1:2" ht="31.2" x14ac:dyDescent="0.3">
      <c r="A6" s="24" t="s">
        <v>470</v>
      </c>
      <c r="B6" s="25" t="s">
        <v>471</v>
      </c>
    </row>
    <row r="7" spans="1:2" ht="31.2" x14ac:dyDescent="0.3">
      <c r="A7" s="24" t="s">
        <v>472</v>
      </c>
      <c r="B7" s="25" t="s">
        <v>473</v>
      </c>
    </row>
    <row r="8" spans="1:2" ht="46.8" x14ac:dyDescent="0.3">
      <c r="A8" s="24" t="s">
        <v>474</v>
      </c>
      <c r="B8" s="25" t="s">
        <v>475</v>
      </c>
    </row>
    <row r="9" spans="1:2" ht="46.8" x14ac:dyDescent="0.3">
      <c r="A9" s="24" t="s">
        <v>476</v>
      </c>
      <c r="B9" s="25" t="s">
        <v>477</v>
      </c>
    </row>
    <row r="11" spans="1:2" ht="17.399999999999999" x14ac:dyDescent="0.35">
      <c r="A11" s="23" t="s">
        <v>478</v>
      </c>
    </row>
    <row r="12" spans="1:2" ht="15.6" x14ac:dyDescent="0.3">
      <c r="A12" s="24" t="s">
        <v>479</v>
      </c>
      <c r="B12" s="25" t="s">
        <v>480</v>
      </c>
    </row>
    <row r="13" spans="1:2" ht="15.6" x14ac:dyDescent="0.3">
      <c r="A13" s="24" t="s">
        <v>481</v>
      </c>
      <c r="B13" s="25" t="s">
        <v>482</v>
      </c>
    </row>
    <row r="14" spans="1:2" ht="31.2" x14ac:dyDescent="0.3">
      <c r="A14" s="24" t="s">
        <v>483</v>
      </c>
      <c r="B14" s="25" t="s">
        <v>484</v>
      </c>
    </row>
    <row r="16" spans="1:2" ht="17.399999999999999" x14ac:dyDescent="0.35">
      <c r="A16" s="23" t="s">
        <v>485</v>
      </c>
    </row>
    <row r="17" spans="1:2" ht="15.6" x14ac:dyDescent="0.3">
      <c r="A17" s="24" t="s">
        <v>486</v>
      </c>
      <c r="B17" s="25" t="s">
        <v>487</v>
      </c>
    </row>
    <row r="18" spans="1:2" ht="15.6" x14ac:dyDescent="0.3">
      <c r="A18" s="24" t="s">
        <v>488</v>
      </c>
      <c r="B18" s="25" t="s">
        <v>489</v>
      </c>
    </row>
    <row r="19" spans="1:2" ht="31.2" x14ac:dyDescent="0.3">
      <c r="A19" s="24" t="s">
        <v>490</v>
      </c>
      <c r="B19" s="25" t="s">
        <v>491</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4EB62-0A19-483C-93F2-CEC7E457A7E4}">
  <dimension ref="A1:Z80"/>
  <sheetViews>
    <sheetView showGridLines="0" workbookViewId="0"/>
  </sheetViews>
  <sheetFormatPr defaultRowHeight="14.4" x14ac:dyDescent="0.3"/>
  <cols>
    <col min="1" max="1" width="84.77734375" customWidth="1"/>
    <col min="2" max="2" width="2.77734375" customWidth="1"/>
    <col min="3" max="3" width="42.77734375" customWidth="1"/>
  </cols>
  <sheetData>
    <row r="1" spans="1:26" ht="31.95" customHeight="1" x14ac:dyDescent="0.3">
      <c r="A1" s="3" t="s">
        <v>404</v>
      </c>
      <c r="B1" s="2"/>
      <c r="C1" s="2"/>
      <c r="D1" s="2"/>
      <c r="E1" s="2"/>
      <c r="F1" s="2"/>
      <c r="G1" s="2"/>
      <c r="H1" s="2"/>
      <c r="I1" s="2"/>
      <c r="J1" s="2"/>
      <c r="K1" s="2"/>
      <c r="L1" s="2"/>
      <c r="M1" s="2"/>
      <c r="N1" s="2"/>
      <c r="O1" s="2"/>
      <c r="P1" s="2"/>
      <c r="Q1" s="2"/>
      <c r="R1" s="2"/>
      <c r="S1" s="2"/>
      <c r="T1" s="2"/>
      <c r="U1" s="2"/>
      <c r="V1" s="2"/>
      <c r="W1" s="2"/>
      <c r="X1" s="2"/>
      <c r="Y1" s="2"/>
      <c r="Z1" s="2"/>
    </row>
    <row r="2" spans="1:26" ht="22.05" customHeight="1" x14ac:dyDescent="0.3">
      <c r="A2" s="4" t="s">
        <v>405</v>
      </c>
      <c r="B2" s="2"/>
      <c r="C2" s="2"/>
      <c r="D2" s="2"/>
      <c r="E2" s="2"/>
      <c r="F2" s="2"/>
      <c r="G2" s="2"/>
      <c r="H2" s="2"/>
      <c r="I2" s="2"/>
      <c r="J2" s="2"/>
      <c r="K2" s="2"/>
      <c r="L2" s="2"/>
      <c r="M2" s="2"/>
      <c r="N2" s="2"/>
      <c r="O2" s="2"/>
      <c r="P2" s="2"/>
      <c r="Q2" s="2"/>
      <c r="R2" s="2"/>
      <c r="S2" s="2"/>
      <c r="T2" s="2"/>
      <c r="U2" s="2"/>
      <c r="V2" s="2"/>
      <c r="W2" s="2"/>
      <c r="X2" s="2"/>
      <c r="Y2" s="2"/>
      <c r="Z2" s="2"/>
    </row>
    <row r="3" spans="1:26" ht="7.95" customHeight="1" x14ac:dyDescent="0.3">
      <c r="A3" s="2"/>
      <c r="B3" s="2"/>
      <c r="C3" s="2"/>
      <c r="D3" s="2"/>
      <c r="E3" s="2"/>
      <c r="F3" s="2"/>
      <c r="G3" s="2"/>
      <c r="H3" s="2"/>
      <c r="I3" s="2"/>
      <c r="J3" s="2"/>
      <c r="K3" s="2"/>
      <c r="L3" s="2"/>
      <c r="M3" s="2"/>
      <c r="N3" s="2"/>
      <c r="O3" s="2"/>
      <c r="P3" s="2"/>
      <c r="Q3" s="2"/>
      <c r="R3" s="2"/>
      <c r="S3" s="2"/>
      <c r="T3" s="2"/>
      <c r="U3" s="2"/>
      <c r="V3" s="2"/>
      <c r="W3" s="2"/>
      <c r="X3" s="2"/>
      <c r="Y3" s="2"/>
      <c r="Z3" s="2"/>
    </row>
    <row r="4" spans="1:26" ht="28.05" customHeight="1" x14ac:dyDescent="0.3">
      <c r="A4" s="6" t="s">
        <v>406</v>
      </c>
      <c r="B4" s="5"/>
      <c r="C4" s="5"/>
      <c r="D4" s="2"/>
      <c r="E4" s="2"/>
      <c r="F4" s="2"/>
      <c r="G4" s="2"/>
      <c r="H4" s="2"/>
      <c r="I4" s="2"/>
      <c r="J4" s="2"/>
      <c r="K4" s="2"/>
      <c r="L4" s="2"/>
      <c r="M4" s="2"/>
      <c r="N4" s="2"/>
      <c r="O4" s="2"/>
      <c r="P4" s="2"/>
      <c r="Q4" s="2"/>
      <c r="R4" s="2"/>
      <c r="S4" s="2"/>
      <c r="T4" s="2"/>
      <c r="U4" s="2"/>
      <c r="V4" s="2"/>
      <c r="W4" s="2"/>
      <c r="X4" s="2"/>
      <c r="Y4" s="2"/>
      <c r="Z4" s="2"/>
    </row>
    <row r="5" spans="1:26" ht="22.0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28.05" customHeight="1" thickBot="1" x14ac:dyDescent="0.35">
      <c r="A6" s="8" t="s">
        <v>407</v>
      </c>
      <c r="B6" s="7"/>
      <c r="C6" s="7"/>
      <c r="D6" s="2"/>
      <c r="E6" s="2"/>
      <c r="F6" s="2"/>
      <c r="G6" s="2"/>
      <c r="H6" s="2"/>
      <c r="I6" s="2"/>
      <c r="J6" s="2"/>
      <c r="K6" s="2"/>
      <c r="L6" s="2"/>
      <c r="M6" s="2"/>
      <c r="N6" s="2"/>
      <c r="O6" s="2"/>
      <c r="P6" s="2"/>
      <c r="Q6" s="2"/>
      <c r="R6" s="2"/>
      <c r="S6" s="2"/>
      <c r="T6" s="2"/>
      <c r="U6" s="2"/>
      <c r="V6" s="2"/>
      <c r="W6" s="2"/>
      <c r="X6" s="2"/>
      <c r="Y6" s="2"/>
      <c r="Z6" s="2"/>
    </row>
    <row r="7" spans="1:26" ht="22.05" customHeight="1" x14ac:dyDescent="0.35">
      <c r="A7" s="9" t="s">
        <v>408</v>
      </c>
      <c r="B7" s="2"/>
      <c r="C7" s="11" t="s">
        <v>365</v>
      </c>
      <c r="D7" s="2"/>
      <c r="E7" s="2"/>
      <c r="F7" s="2"/>
      <c r="G7" s="2"/>
      <c r="H7" s="2"/>
      <c r="I7" s="2"/>
      <c r="J7" s="2"/>
      <c r="K7" s="2"/>
      <c r="L7" s="2"/>
      <c r="M7" s="2"/>
      <c r="N7" s="2"/>
      <c r="O7" s="2"/>
      <c r="P7" s="2"/>
      <c r="Q7" s="2"/>
      <c r="R7" s="2"/>
      <c r="S7" s="2"/>
      <c r="T7" s="2"/>
      <c r="U7" s="2"/>
      <c r="V7" s="2"/>
      <c r="W7" s="2"/>
      <c r="X7" s="2"/>
      <c r="Y7" s="2"/>
      <c r="Z7" s="2"/>
    </row>
    <row r="8" spans="1:26" ht="22.05" customHeight="1" x14ac:dyDescent="0.35">
      <c r="A8" s="9" t="s">
        <v>409</v>
      </c>
      <c r="B8" s="2"/>
      <c r="C8" s="12"/>
      <c r="D8" s="2"/>
      <c r="E8" s="2"/>
      <c r="F8" s="2"/>
      <c r="G8" s="2"/>
      <c r="H8" s="2"/>
      <c r="I8" s="2"/>
      <c r="J8" s="2"/>
      <c r="K8" s="2"/>
      <c r="L8" s="2"/>
      <c r="M8" s="2"/>
      <c r="N8" s="2"/>
      <c r="O8" s="2"/>
      <c r="P8" s="2"/>
      <c r="Q8" s="2"/>
      <c r="R8" s="2"/>
      <c r="S8" s="2"/>
      <c r="T8" s="2"/>
      <c r="U8" s="2"/>
      <c r="V8" s="2"/>
      <c r="W8" s="2"/>
      <c r="X8" s="2"/>
      <c r="Y8" s="2"/>
      <c r="Z8" s="2"/>
    </row>
    <row r="9" spans="1:26" ht="22.05" customHeight="1" x14ac:dyDescent="0.35">
      <c r="A9" s="9" t="s">
        <v>410</v>
      </c>
      <c r="B9" s="2"/>
      <c r="C9" s="12"/>
      <c r="D9" s="2"/>
      <c r="E9" s="2"/>
      <c r="F9" s="2"/>
      <c r="G9" s="2"/>
      <c r="H9" s="2"/>
      <c r="I9" s="2"/>
      <c r="J9" s="2"/>
      <c r="K9" s="2"/>
      <c r="L9" s="2"/>
      <c r="M9" s="2"/>
      <c r="N9" s="2"/>
      <c r="O9" s="2"/>
      <c r="P9" s="2"/>
      <c r="Q9" s="2"/>
      <c r="R9" s="2"/>
      <c r="S9" s="2"/>
      <c r="T9" s="2"/>
      <c r="U9" s="2"/>
      <c r="V9" s="2"/>
      <c r="W9" s="2"/>
      <c r="X9" s="2"/>
      <c r="Y9" s="2"/>
      <c r="Z9" s="2"/>
    </row>
    <row r="10" spans="1:26" ht="22.05" customHeight="1" x14ac:dyDescent="0.35">
      <c r="A10" s="9" t="s">
        <v>411</v>
      </c>
      <c r="B10" s="2"/>
      <c r="C10" s="12"/>
      <c r="D10" s="2"/>
      <c r="E10" s="2"/>
      <c r="F10" s="2"/>
      <c r="G10" s="2"/>
      <c r="H10" s="2"/>
      <c r="I10" s="2"/>
      <c r="J10" s="2"/>
      <c r="K10" s="2"/>
      <c r="L10" s="2"/>
      <c r="M10" s="2"/>
      <c r="N10" s="2"/>
      <c r="O10" s="2"/>
      <c r="P10" s="2"/>
      <c r="Q10" s="2"/>
      <c r="R10" s="2"/>
      <c r="S10" s="2"/>
      <c r="T10" s="2"/>
      <c r="U10" s="2"/>
      <c r="V10" s="2"/>
      <c r="W10" s="2"/>
      <c r="X10" s="2"/>
      <c r="Y10" s="2"/>
      <c r="Z10" s="2"/>
    </row>
    <row r="11" spans="1:26" ht="22.05" customHeight="1" x14ac:dyDescent="0.35">
      <c r="A11" s="9" t="s">
        <v>412</v>
      </c>
      <c r="B11" s="2"/>
      <c r="C11" s="12"/>
      <c r="D11" s="2"/>
      <c r="E11" s="2"/>
      <c r="F11" s="2"/>
      <c r="G11" s="2"/>
      <c r="H11" s="2"/>
      <c r="I11" s="2"/>
      <c r="J11" s="2"/>
      <c r="K11" s="2"/>
      <c r="L11" s="2"/>
      <c r="M11" s="2"/>
      <c r="N11" s="2"/>
      <c r="O11" s="2"/>
      <c r="P11" s="2"/>
      <c r="Q11" s="2"/>
      <c r="R11" s="2"/>
      <c r="S11" s="2"/>
      <c r="T11" s="2"/>
      <c r="U11" s="2"/>
      <c r="V11" s="2"/>
      <c r="W11" s="2"/>
      <c r="X11" s="2"/>
      <c r="Y11" s="2"/>
      <c r="Z11" s="2"/>
    </row>
    <row r="12" spans="1:26" ht="22.05" customHeight="1" x14ac:dyDescent="0.35">
      <c r="A12" s="9" t="s">
        <v>413</v>
      </c>
      <c r="B12" s="2"/>
      <c r="C12" s="11" t="s">
        <v>424</v>
      </c>
      <c r="D12" s="2"/>
      <c r="E12" s="2"/>
      <c r="F12" s="2"/>
      <c r="G12" s="2"/>
      <c r="H12" s="2"/>
      <c r="I12" s="2"/>
      <c r="J12" s="2"/>
      <c r="K12" s="2"/>
      <c r="L12" s="2"/>
      <c r="M12" s="2"/>
      <c r="N12" s="2"/>
      <c r="O12" s="2"/>
      <c r="P12" s="2"/>
      <c r="Q12" s="2"/>
      <c r="R12" s="2"/>
      <c r="S12" s="2"/>
      <c r="T12" s="2"/>
      <c r="U12" s="2"/>
      <c r="V12" s="2"/>
      <c r="W12" s="2"/>
      <c r="X12" s="2"/>
      <c r="Y12" s="2"/>
      <c r="Z12" s="2"/>
    </row>
    <row r="13" spans="1:26" ht="28.05" customHeight="1" thickBot="1" x14ac:dyDescent="0.35">
      <c r="A13" s="8" t="s">
        <v>414</v>
      </c>
      <c r="B13" s="7"/>
      <c r="C13" s="7"/>
      <c r="D13" s="2"/>
      <c r="E13" s="2"/>
      <c r="F13" s="2"/>
      <c r="G13" s="2"/>
      <c r="H13" s="2"/>
      <c r="I13" s="2"/>
      <c r="J13" s="2"/>
      <c r="K13" s="2"/>
      <c r="L13" s="2"/>
      <c r="M13" s="2"/>
      <c r="N13" s="2"/>
      <c r="O13" s="2"/>
      <c r="P13" s="2"/>
      <c r="Q13" s="2"/>
      <c r="R13" s="2"/>
      <c r="S13" s="2"/>
      <c r="T13" s="2"/>
      <c r="U13" s="2"/>
      <c r="V13" s="2"/>
      <c r="W13" s="2"/>
      <c r="X13" s="2"/>
      <c r="Y13" s="2"/>
      <c r="Z13" s="2"/>
    </row>
    <row r="14" spans="1:26" ht="22.05" customHeight="1" x14ac:dyDescent="0.3">
      <c r="A14" s="9" t="s">
        <v>415</v>
      </c>
      <c r="B14" s="2"/>
      <c r="C14" s="2"/>
      <c r="D14" s="2"/>
      <c r="E14" s="2"/>
      <c r="F14" s="2"/>
      <c r="G14" s="2"/>
      <c r="H14" s="2"/>
      <c r="I14" s="2"/>
      <c r="J14" s="2"/>
      <c r="K14" s="2"/>
      <c r="L14" s="2"/>
      <c r="M14" s="2"/>
      <c r="N14" s="2"/>
      <c r="O14" s="2"/>
      <c r="P14" s="2"/>
      <c r="Q14" s="2"/>
      <c r="R14" s="2"/>
      <c r="S14" s="2"/>
      <c r="T14" s="2"/>
      <c r="U14" s="2"/>
      <c r="V14" s="2"/>
      <c r="W14" s="2"/>
      <c r="X14" s="2"/>
      <c r="Y14" s="2"/>
      <c r="Z14" s="2"/>
    </row>
    <row r="15" spans="1:26" ht="22.05" customHeight="1" x14ac:dyDescent="0.3">
      <c r="A15" s="10" t="s">
        <v>416</v>
      </c>
      <c r="B15" s="2"/>
      <c r="C15" s="2"/>
      <c r="D15" s="2"/>
      <c r="E15" s="2"/>
      <c r="F15" s="2"/>
      <c r="G15" s="2"/>
      <c r="H15" s="2"/>
      <c r="I15" s="2"/>
      <c r="J15" s="2"/>
      <c r="K15" s="2"/>
      <c r="L15" s="2"/>
      <c r="M15" s="2"/>
      <c r="N15" s="2"/>
      <c r="O15" s="2"/>
      <c r="P15" s="2"/>
      <c r="Q15" s="2"/>
      <c r="R15" s="2"/>
      <c r="S15" s="2"/>
      <c r="T15" s="2"/>
      <c r="U15" s="2"/>
      <c r="V15" s="2"/>
      <c r="W15" s="2"/>
      <c r="X15" s="2"/>
      <c r="Y15" s="2"/>
      <c r="Z15" s="2"/>
    </row>
    <row r="16" spans="1:26" ht="22.05" customHeight="1" x14ac:dyDescent="0.3">
      <c r="A16" s="9" t="s">
        <v>417</v>
      </c>
      <c r="B16" s="2"/>
      <c r="C16" s="2"/>
      <c r="D16" s="2"/>
      <c r="E16" s="2"/>
      <c r="F16" s="2"/>
      <c r="G16" s="2"/>
      <c r="H16" s="2"/>
      <c r="I16" s="2"/>
      <c r="J16" s="2"/>
      <c r="K16" s="2"/>
      <c r="L16" s="2"/>
      <c r="M16" s="2"/>
      <c r="N16" s="2"/>
      <c r="O16" s="2"/>
      <c r="P16" s="2"/>
      <c r="Q16" s="2"/>
      <c r="R16" s="2"/>
      <c r="S16" s="2"/>
      <c r="T16" s="2"/>
      <c r="U16" s="2"/>
      <c r="V16" s="2"/>
      <c r="W16" s="2"/>
      <c r="X16" s="2"/>
      <c r="Y16" s="2"/>
      <c r="Z16" s="2"/>
    </row>
    <row r="17" spans="1:26" ht="22.05" customHeight="1" x14ac:dyDescent="0.3">
      <c r="A17" s="10" t="s">
        <v>418</v>
      </c>
      <c r="B17" s="2"/>
      <c r="C17" s="2"/>
      <c r="D17" s="2"/>
      <c r="E17" s="2"/>
      <c r="F17" s="2"/>
      <c r="G17" s="2"/>
      <c r="H17" s="2"/>
      <c r="I17" s="2"/>
      <c r="J17" s="2"/>
      <c r="K17" s="2"/>
      <c r="L17" s="2"/>
      <c r="M17" s="2"/>
      <c r="N17" s="2"/>
      <c r="O17" s="2"/>
      <c r="P17" s="2"/>
      <c r="Q17" s="2"/>
      <c r="R17" s="2"/>
      <c r="S17" s="2"/>
      <c r="T17" s="2"/>
      <c r="U17" s="2"/>
      <c r="V17" s="2"/>
      <c r="W17" s="2"/>
      <c r="X17" s="2"/>
      <c r="Y17" s="2"/>
      <c r="Z17" s="2"/>
    </row>
    <row r="18" spans="1:26" ht="28.05" customHeight="1" thickBot="1" x14ac:dyDescent="0.35">
      <c r="A18" s="8" t="s">
        <v>419</v>
      </c>
      <c r="B18" s="7"/>
      <c r="C18" s="7"/>
      <c r="D18" s="2"/>
      <c r="E18" s="2"/>
      <c r="F18" s="2"/>
      <c r="G18" s="2"/>
      <c r="H18" s="2"/>
      <c r="I18" s="2"/>
      <c r="J18" s="2"/>
      <c r="K18" s="2"/>
      <c r="L18" s="2"/>
      <c r="M18" s="2"/>
      <c r="N18" s="2"/>
      <c r="O18" s="2"/>
      <c r="P18" s="2"/>
      <c r="Q18" s="2"/>
      <c r="R18" s="2"/>
      <c r="S18" s="2"/>
      <c r="T18" s="2"/>
      <c r="U18" s="2"/>
      <c r="V18" s="2"/>
      <c r="W18" s="2"/>
      <c r="X18" s="2"/>
      <c r="Y18" s="2"/>
      <c r="Z18" s="2"/>
    </row>
    <row r="19" spans="1:26" ht="22.05" customHeight="1" x14ac:dyDescent="0.3">
      <c r="A19" s="9" t="s">
        <v>420</v>
      </c>
      <c r="B19" s="2"/>
      <c r="C19" s="2"/>
      <c r="D19" s="2"/>
      <c r="E19" s="2"/>
      <c r="F19" s="2"/>
      <c r="G19" s="2"/>
      <c r="H19" s="2"/>
      <c r="I19" s="2"/>
      <c r="J19" s="2"/>
      <c r="K19" s="2"/>
      <c r="L19" s="2"/>
      <c r="M19" s="2"/>
      <c r="N19" s="2"/>
      <c r="O19" s="2"/>
      <c r="P19" s="2"/>
      <c r="Q19" s="2"/>
      <c r="R19" s="2"/>
      <c r="S19" s="2"/>
      <c r="T19" s="2"/>
      <c r="U19" s="2"/>
      <c r="V19" s="2"/>
      <c r="W19" s="2"/>
      <c r="X19" s="2"/>
      <c r="Y19" s="2"/>
      <c r="Z19" s="2"/>
    </row>
    <row r="20" spans="1:26" ht="22.05" customHeight="1" x14ac:dyDescent="0.3">
      <c r="A20" s="10" t="s">
        <v>421</v>
      </c>
      <c r="B20" s="2"/>
      <c r="C20" s="2"/>
      <c r="D20" s="2"/>
      <c r="E20" s="2"/>
      <c r="F20" s="2"/>
      <c r="G20" s="2"/>
      <c r="H20" s="2"/>
      <c r="I20" s="2"/>
      <c r="J20" s="2"/>
      <c r="K20" s="2"/>
      <c r="L20" s="2"/>
      <c r="M20" s="2"/>
      <c r="N20" s="2"/>
      <c r="O20" s="2"/>
      <c r="P20" s="2"/>
      <c r="Q20" s="2"/>
      <c r="R20" s="2"/>
      <c r="S20" s="2"/>
      <c r="T20" s="2"/>
      <c r="U20" s="2"/>
      <c r="V20" s="2"/>
      <c r="W20" s="2"/>
      <c r="X20" s="2"/>
      <c r="Y20" s="2"/>
      <c r="Z20" s="2"/>
    </row>
    <row r="21" spans="1:26" ht="22.05" customHeight="1" x14ac:dyDescent="0.3">
      <c r="A21" s="9" t="s">
        <v>422</v>
      </c>
      <c r="B21" s="2"/>
      <c r="C21" s="2"/>
      <c r="D21" s="2"/>
      <c r="E21" s="2"/>
      <c r="F21" s="2"/>
      <c r="G21" s="2"/>
      <c r="H21" s="2"/>
      <c r="I21" s="2"/>
      <c r="J21" s="2"/>
      <c r="K21" s="2"/>
      <c r="L21" s="2"/>
      <c r="M21" s="2"/>
      <c r="N21" s="2"/>
      <c r="O21" s="2"/>
      <c r="P21" s="2"/>
      <c r="Q21" s="2"/>
      <c r="R21" s="2"/>
      <c r="S21" s="2"/>
      <c r="T21" s="2"/>
      <c r="U21" s="2"/>
      <c r="V21" s="2"/>
      <c r="W21" s="2"/>
      <c r="X21" s="2"/>
      <c r="Y21" s="2"/>
      <c r="Z21" s="2"/>
    </row>
    <row r="22" spans="1:26" ht="22.05" customHeight="1" x14ac:dyDescent="0.3">
      <c r="A22" s="10" t="s">
        <v>423</v>
      </c>
      <c r="B22" s="2"/>
      <c r="C22" s="2"/>
      <c r="D22" s="2"/>
      <c r="E22" s="2"/>
      <c r="F22" s="2"/>
      <c r="G22" s="2"/>
      <c r="H22" s="2"/>
      <c r="I22" s="2"/>
      <c r="J22" s="2"/>
      <c r="K22" s="2"/>
      <c r="L22" s="2"/>
      <c r="M22" s="2"/>
      <c r="N22" s="2"/>
      <c r="O22" s="2"/>
      <c r="P22" s="2"/>
      <c r="Q22" s="2"/>
      <c r="R22" s="2"/>
      <c r="S22" s="2"/>
      <c r="T22" s="2"/>
      <c r="U22" s="2"/>
      <c r="V22" s="2"/>
      <c r="W22" s="2"/>
      <c r="X22" s="2"/>
      <c r="Y22" s="2"/>
      <c r="Z22" s="2"/>
    </row>
    <row r="23" spans="1:26" ht="58.05" customHeight="1" x14ac:dyDescent="0.3">
      <c r="A23" s="13"/>
      <c r="B23" s="2"/>
      <c r="C23" s="2"/>
      <c r="D23" s="2"/>
      <c r="E23" s="2"/>
      <c r="F23" s="2"/>
      <c r="G23" s="2"/>
      <c r="H23" s="2"/>
      <c r="I23" s="2"/>
      <c r="J23" s="2"/>
      <c r="K23" s="2"/>
      <c r="L23" s="2"/>
      <c r="M23" s="2"/>
      <c r="N23" s="2"/>
      <c r="O23" s="2"/>
      <c r="P23" s="2"/>
      <c r="Q23" s="2"/>
      <c r="R23" s="2"/>
      <c r="S23" s="2"/>
      <c r="T23" s="2"/>
      <c r="U23" s="2"/>
      <c r="V23" s="2"/>
      <c r="W23" s="2"/>
      <c r="X23" s="2"/>
      <c r="Y23" s="2"/>
      <c r="Z23" s="2"/>
    </row>
    <row r="24" spans="1:26" ht="22.0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22.05" customHeight="1" x14ac:dyDescent="0.35">
      <c r="A25" s="14" t="str">
        <f>HYPERLINK("https://mdtopdf.tigzig.com/static/pdfs/report_20261024_150458_5650c39b.pdf", "Open PDF report")</f>
        <v>Open PDF report</v>
      </c>
      <c r="B25" s="2"/>
      <c r="C25" s="2"/>
      <c r="D25" s="2"/>
      <c r="E25" s="2"/>
      <c r="F25" s="2"/>
      <c r="G25" s="2"/>
      <c r="H25" s="2"/>
      <c r="I25" s="2"/>
      <c r="J25" s="2"/>
      <c r="K25" s="2"/>
      <c r="L25" s="2"/>
      <c r="M25" s="2"/>
      <c r="N25" s="2"/>
      <c r="O25" s="2"/>
      <c r="P25" s="2"/>
      <c r="Q25" s="2"/>
      <c r="R25" s="2"/>
      <c r="S25" s="2"/>
      <c r="T25" s="2"/>
      <c r="U25" s="2"/>
      <c r="V25" s="2"/>
      <c r="W25" s="2"/>
      <c r="X25" s="2"/>
      <c r="Y25" s="2"/>
      <c r="Z25" s="2"/>
    </row>
    <row r="26" spans="1:26" ht="22.05" customHeight="1" x14ac:dyDescent="0.35">
      <c r="A26" s="14" t="str">
        <f>HYPERLINK("https://mdtopdf.tigzig.com/static/html/report_20261024_150458_5650c39b.html", "Open HTML report")</f>
        <v>Open HTML report</v>
      </c>
      <c r="B26" s="2"/>
      <c r="C26" s="2"/>
      <c r="D26" s="2"/>
      <c r="E26" s="2"/>
      <c r="F26" s="2"/>
      <c r="G26" s="2"/>
      <c r="H26" s="2"/>
      <c r="I26" s="2"/>
      <c r="J26" s="2"/>
      <c r="K26" s="2"/>
      <c r="L26" s="2"/>
      <c r="M26" s="2"/>
      <c r="N26" s="2"/>
      <c r="O26" s="2"/>
      <c r="P26" s="2"/>
      <c r="Q26" s="2"/>
      <c r="R26" s="2"/>
      <c r="S26" s="2"/>
      <c r="T26" s="2"/>
      <c r="U26" s="2"/>
      <c r="V26" s="2"/>
      <c r="W26" s="2"/>
      <c r="X26" s="2"/>
      <c r="Y26" s="2"/>
      <c r="Z26" s="2"/>
    </row>
    <row r="27" spans="1:26" ht="22.05" customHeight="1" x14ac:dyDescent="0.3">
      <c r="A27" s="15" t="s">
        <v>425</v>
      </c>
      <c r="B27" s="2"/>
      <c r="C27" s="2"/>
      <c r="D27" s="2"/>
      <c r="E27" s="2"/>
      <c r="F27" s="2"/>
      <c r="G27" s="2"/>
      <c r="H27" s="2"/>
      <c r="I27" s="2"/>
      <c r="J27" s="2"/>
      <c r="K27" s="2"/>
      <c r="L27" s="2"/>
      <c r="M27" s="2"/>
      <c r="N27" s="2"/>
      <c r="O27" s="2"/>
      <c r="P27" s="2"/>
      <c r="Q27" s="2"/>
      <c r="R27" s="2"/>
      <c r="S27" s="2"/>
      <c r="T27" s="2"/>
      <c r="U27" s="2"/>
      <c r="V27" s="2"/>
      <c r="W27" s="2"/>
      <c r="X27" s="2"/>
      <c r="Y27" s="2"/>
      <c r="Z27" s="2"/>
    </row>
    <row r="28" spans="1:26" ht="22.05" customHeight="1" x14ac:dyDescent="0.3">
      <c r="A28" s="15" t="s">
        <v>426</v>
      </c>
      <c r="B28" s="2"/>
      <c r="C28" s="2"/>
      <c r="D28" s="2"/>
      <c r="E28" s="2"/>
      <c r="F28" s="2"/>
      <c r="G28" s="2"/>
      <c r="H28" s="2"/>
      <c r="I28" s="2"/>
      <c r="J28" s="2"/>
      <c r="K28" s="2"/>
      <c r="L28" s="2"/>
      <c r="M28" s="2"/>
      <c r="N28" s="2"/>
      <c r="O28" s="2"/>
      <c r="P28" s="2"/>
      <c r="Q28" s="2"/>
      <c r="R28" s="2"/>
      <c r="S28" s="2"/>
      <c r="T28" s="2"/>
      <c r="U28" s="2"/>
      <c r="V28" s="2"/>
      <c r="W28" s="2"/>
      <c r="X28" s="2"/>
      <c r="Y28" s="2"/>
      <c r="Z28" s="2"/>
    </row>
    <row r="29" spans="1:26" ht="22.0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22.0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sheetData>
  <dataValidations count="1">
    <dataValidation type="list" allowBlank="1" showInputMessage="1" showErrorMessage="1" sqref="C12" xr:uid="{B1AEC641-C8C6-48A8-9179-CD71B9EBFCED}">
      <formula1>"claude-sonnet-5-5,claude-opus-5-5"</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D055A-70F0-4B81-94D1-37889CABC7B9}">
  <dimension ref="A1:D201"/>
  <sheetViews>
    <sheetView workbookViewId="0"/>
  </sheetViews>
  <sheetFormatPr defaultRowHeight="14.4" x14ac:dyDescent="0.3"/>
  <cols>
    <col min="1" max="1" width="44.77734375" customWidth="1"/>
    <col min="2" max="8" width="18.77734375" customWidth="1"/>
  </cols>
  <sheetData>
    <row r="1" spans="1:2" x14ac:dyDescent="0.3">
      <c r="A1" s="16" t="s">
        <v>427</v>
      </c>
    </row>
    <row r="3" spans="1:2" x14ac:dyDescent="0.3">
      <c r="A3" s="17" t="s">
        <v>231</v>
      </c>
    </row>
    <row r="4" spans="1:2" x14ac:dyDescent="0.3">
      <c r="A4" s="16" t="s">
        <v>428</v>
      </c>
      <c r="B4" s="16" t="s">
        <v>61</v>
      </c>
    </row>
    <row r="5" spans="1:2" x14ac:dyDescent="0.3">
      <c r="A5" t="s">
        <v>429</v>
      </c>
      <c r="B5" s="18" t="s">
        <v>430</v>
      </c>
    </row>
    <row r="6" spans="1:2" x14ac:dyDescent="0.3">
      <c r="A6" t="s">
        <v>431</v>
      </c>
      <c r="B6">
        <v>198933</v>
      </c>
    </row>
    <row r="7" spans="1:2" x14ac:dyDescent="0.3">
      <c r="A7" t="s">
        <v>62</v>
      </c>
      <c r="B7" s="18" t="s">
        <v>357</v>
      </c>
    </row>
    <row r="8" spans="1:2" x14ac:dyDescent="0.3">
      <c r="A8" t="s">
        <v>63</v>
      </c>
      <c r="B8" s="18" t="s">
        <v>358</v>
      </c>
    </row>
    <row r="9" spans="1:2" x14ac:dyDescent="0.3">
      <c r="A9" t="s">
        <v>64</v>
      </c>
      <c r="B9" s="18" t="s">
        <v>432</v>
      </c>
    </row>
    <row r="10" spans="1:2" x14ac:dyDescent="0.3">
      <c r="A10" t="s">
        <v>65</v>
      </c>
      <c r="B10" s="18" t="s">
        <v>241</v>
      </c>
    </row>
    <row r="11" spans="1:2" x14ac:dyDescent="0.3">
      <c r="A11" t="s">
        <v>66</v>
      </c>
      <c r="B11" s="18" t="s">
        <v>359</v>
      </c>
    </row>
    <row r="12" spans="1:2" x14ac:dyDescent="0.3">
      <c r="A12" t="s">
        <v>67</v>
      </c>
      <c r="B12" s="18" t="s">
        <v>360</v>
      </c>
    </row>
    <row r="13" spans="1:2" x14ac:dyDescent="0.3">
      <c r="A13" t="s">
        <v>68</v>
      </c>
      <c r="B13" s="18" t="s">
        <v>361</v>
      </c>
    </row>
    <row r="14" spans="1:2" x14ac:dyDescent="0.3">
      <c r="A14" t="s">
        <v>69</v>
      </c>
      <c r="B14" s="18" t="s">
        <v>362</v>
      </c>
    </row>
    <row r="15" spans="1:2" x14ac:dyDescent="0.3">
      <c r="A15" t="s">
        <v>70</v>
      </c>
      <c r="B15" s="18" t="s">
        <v>361</v>
      </c>
    </row>
    <row r="16" spans="1:2" x14ac:dyDescent="0.3">
      <c r="A16" t="s">
        <v>71</v>
      </c>
      <c r="B16" s="18" t="s">
        <v>363</v>
      </c>
    </row>
    <row r="17" spans="1:2" x14ac:dyDescent="0.3">
      <c r="A17" t="s">
        <v>72</v>
      </c>
      <c r="B17" s="18" t="s">
        <v>364</v>
      </c>
    </row>
    <row r="18" spans="1:2" x14ac:dyDescent="0.3">
      <c r="A18" t="s">
        <v>73</v>
      </c>
      <c r="B18" s="18" t="s">
        <v>363</v>
      </c>
    </row>
    <row r="19" spans="1:2" x14ac:dyDescent="0.3">
      <c r="A19" t="s">
        <v>169</v>
      </c>
      <c r="B19" s="18" t="s">
        <v>365</v>
      </c>
    </row>
    <row r="20" spans="1:2" x14ac:dyDescent="0.3">
      <c r="A20" t="s">
        <v>185</v>
      </c>
      <c r="B20" s="18" t="s">
        <v>366</v>
      </c>
    </row>
    <row r="21" spans="1:2" x14ac:dyDescent="0.3">
      <c r="A21" t="s">
        <v>194</v>
      </c>
      <c r="B21" s="18" t="s">
        <v>366</v>
      </c>
    </row>
    <row r="22" spans="1:2" x14ac:dyDescent="0.3">
      <c r="A22" t="s">
        <v>226</v>
      </c>
      <c r="B22" s="18" t="s">
        <v>367</v>
      </c>
    </row>
    <row r="23" spans="1:2" x14ac:dyDescent="0.3">
      <c r="A23" t="s">
        <v>174</v>
      </c>
      <c r="B23" s="18" t="s">
        <v>175</v>
      </c>
    </row>
    <row r="24" spans="1:2" x14ac:dyDescent="0.3">
      <c r="A24" t="s">
        <v>139</v>
      </c>
      <c r="B24" s="18" t="s">
        <v>140</v>
      </c>
    </row>
    <row r="25" spans="1:2" x14ac:dyDescent="0.3">
      <c r="A25" t="s">
        <v>170</v>
      </c>
      <c r="B25" s="18" t="s">
        <v>171</v>
      </c>
    </row>
    <row r="26" spans="1:2" x14ac:dyDescent="0.3">
      <c r="A26" t="s">
        <v>172</v>
      </c>
      <c r="B26" s="18" t="s">
        <v>173</v>
      </c>
    </row>
    <row r="27" spans="1:2" x14ac:dyDescent="0.3">
      <c r="A27" t="s">
        <v>182</v>
      </c>
      <c r="B27" s="18" t="s">
        <v>183</v>
      </c>
    </row>
    <row r="28" spans="1:2" x14ac:dyDescent="0.3">
      <c r="A28" t="s">
        <v>187</v>
      </c>
      <c r="B28" s="18" t="s">
        <v>242</v>
      </c>
    </row>
    <row r="29" spans="1:2" x14ac:dyDescent="0.3">
      <c r="A29" t="s">
        <v>189</v>
      </c>
      <c r="B29" s="18" t="s">
        <v>190</v>
      </c>
    </row>
    <row r="30" spans="1:2" x14ac:dyDescent="0.3">
      <c r="A30" t="s">
        <v>191</v>
      </c>
      <c r="B30" s="18" t="s">
        <v>192</v>
      </c>
    </row>
    <row r="31" spans="1:2" x14ac:dyDescent="0.3">
      <c r="A31" t="s">
        <v>199</v>
      </c>
      <c r="B31" s="18" t="s">
        <v>243</v>
      </c>
    </row>
    <row r="32" spans="1:2" x14ac:dyDescent="0.3">
      <c r="A32" t="s">
        <v>188</v>
      </c>
      <c r="B32" s="18" t="s">
        <v>368</v>
      </c>
    </row>
    <row r="33" spans="1:2" x14ac:dyDescent="0.3">
      <c r="A33" t="s">
        <v>74</v>
      </c>
      <c r="B33">
        <v>86400</v>
      </c>
    </row>
    <row r="35" spans="1:2" x14ac:dyDescent="0.3">
      <c r="A35" s="17" t="s">
        <v>232</v>
      </c>
    </row>
    <row r="36" spans="1:2" x14ac:dyDescent="0.3">
      <c r="A36" s="16" t="s">
        <v>428</v>
      </c>
      <c r="B36" s="16" t="s">
        <v>61</v>
      </c>
    </row>
    <row r="37" spans="1:2" x14ac:dyDescent="0.3">
      <c r="A37" t="s">
        <v>141</v>
      </c>
      <c r="B37">
        <v>317.27999999999997</v>
      </c>
    </row>
    <row r="38" spans="1:2" x14ac:dyDescent="0.3">
      <c r="A38" t="s">
        <v>76</v>
      </c>
      <c r="B38">
        <v>320.76</v>
      </c>
    </row>
    <row r="39" spans="1:2" x14ac:dyDescent="0.3">
      <c r="A39" t="s">
        <v>77</v>
      </c>
      <c r="B39">
        <v>317.93</v>
      </c>
    </row>
    <row r="40" spans="1:2" x14ac:dyDescent="0.3">
      <c r="A40" t="s">
        <v>78</v>
      </c>
      <c r="B40">
        <v>316.98989999999998</v>
      </c>
    </row>
    <row r="41" spans="1:2" x14ac:dyDescent="0.3">
      <c r="A41" t="s">
        <v>79</v>
      </c>
      <c r="B41">
        <v>321.22989999999999</v>
      </c>
    </row>
    <row r="42" spans="1:2" x14ac:dyDescent="0.3">
      <c r="A42" t="s">
        <v>196</v>
      </c>
      <c r="B42">
        <v>317.27999999999997</v>
      </c>
    </row>
    <row r="43" spans="1:2" x14ac:dyDescent="0.3">
      <c r="A43" t="s">
        <v>80</v>
      </c>
      <c r="B43">
        <v>320.76</v>
      </c>
    </row>
    <row r="44" spans="1:2" x14ac:dyDescent="0.3">
      <c r="A44" t="s">
        <v>81</v>
      </c>
      <c r="B44">
        <v>317.93</v>
      </c>
    </row>
    <row r="45" spans="1:2" x14ac:dyDescent="0.3">
      <c r="A45" t="s">
        <v>82</v>
      </c>
      <c r="B45">
        <v>316.98989999999998</v>
      </c>
    </row>
    <row r="46" spans="1:2" x14ac:dyDescent="0.3">
      <c r="A46" t="s">
        <v>83</v>
      </c>
      <c r="B46">
        <v>321.22989999999999</v>
      </c>
    </row>
    <row r="47" spans="1:2" x14ac:dyDescent="0.3">
      <c r="A47" t="s">
        <v>197</v>
      </c>
      <c r="B47">
        <v>-3.48001</v>
      </c>
    </row>
    <row r="48" spans="1:2" x14ac:dyDescent="0.3">
      <c r="A48" t="s">
        <v>195</v>
      </c>
      <c r="B48">
        <v>-1.0849299999999999</v>
      </c>
    </row>
    <row r="49" spans="1:2" x14ac:dyDescent="0.3">
      <c r="A49" t="s">
        <v>92</v>
      </c>
      <c r="B49">
        <v>10793024</v>
      </c>
    </row>
    <row r="50" spans="1:2" x14ac:dyDescent="0.3">
      <c r="A50" t="s">
        <v>91</v>
      </c>
      <c r="B50">
        <v>10793024</v>
      </c>
    </row>
    <row r="51" spans="1:2" x14ac:dyDescent="0.3">
      <c r="A51" t="s">
        <v>93</v>
      </c>
      <c r="B51">
        <v>17005800</v>
      </c>
    </row>
    <row r="52" spans="1:2" x14ac:dyDescent="0.3">
      <c r="A52" t="s">
        <v>94</v>
      </c>
      <c r="B52">
        <v>15859980</v>
      </c>
    </row>
    <row r="53" spans="1:2" x14ac:dyDescent="0.3">
      <c r="A53" t="s">
        <v>95</v>
      </c>
      <c r="B53">
        <v>15859980</v>
      </c>
    </row>
    <row r="54" spans="1:2" x14ac:dyDescent="0.3">
      <c r="A54" t="s">
        <v>198</v>
      </c>
      <c r="B54" s="18" t="s">
        <v>433</v>
      </c>
    </row>
    <row r="55" spans="1:2" x14ac:dyDescent="0.3">
      <c r="A55" t="s">
        <v>96</v>
      </c>
      <c r="B55">
        <v>325</v>
      </c>
    </row>
    <row r="56" spans="1:2" x14ac:dyDescent="0.3">
      <c r="A56" t="s">
        <v>97</v>
      </c>
      <c r="B56">
        <v>319.89999999999998</v>
      </c>
    </row>
    <row r="57" spans="1:2" x14ac:dyDescent="0.3">
      <c r="A57" t="s">
        <v>98</v>
      </c>
      <c r="B57">
        <v>1</v>
      </c>
    </row>
    <row r="58" spans="1:2" x14ac:dyDescent="0.3">
      <c r="A58" t="s">
        <v>99</v>
      </c>
      <c r="B58">
        <v>1</v>
      </c>
    </row>
    <row r="59" spans="1:2" x14ac:dyDescent="0.3">
      <c r="A59" t="s">
        <v>75</v>
      </c>
      <c r="B59">
        <v>2</v>
      </c>
    </row>
    <row r="60" spans="1:2" x14ac:dyDescent="0.3">
      <c r="A60" t="s">
        <v>186</v>
      </c>
      <c r="B60" s="18" t="s">
        <v>434</v>
      </c>
    </row>
    <row r="61" spans="1:2" x14ac:dyDescent="0.3">
      <c r="A61" t="s">
        <v>224</v>
      </c>
      <c r="B61" t="b">
        <v>1</v>
      </c>
    </row>
    <row r="62" spans="1:2" x14ac:dyDescent="0.3">
      <c r="A62" t="s">
        <v>176</v>
      </c>
      <c r="B62" s="18" t="s">
        <v>177</v>
      </c>
    </row>
    <row r="63" spans="1:2" x14ac:dyDescent="0.3">
      <c r="A63" t="s">
        <v>178</v>
      </c>
      <c r="B63" t="b">
        <v>1</v>
      </c>
    </row>
    <row r="64" spans="1:2" x14ac:dyDescent="0.3">
      <c r="A64" t="s">
        <v>179</v>
      </c>
      <c r="B64" s="18" t="s">
        <v>180</v>
      </c>
    </row>
    <row r="65" spans="1:2" x14ac:dyDescent="0.3">
      <c r="A65" t="s">
        <v>181</v>
      </c>
      <c r="B65">
        <v>-14400000</v>
      </c>
    </row>
    <row r="66" spans="1:2" x14ac:dyDescent="0.3">
      <c r="A66" t="s">
        <v>222</v>
      </c>
      <c r="B66">
        <v>15</v>
      </c>
    </row>
    <row r="68" spans="1:2" x14ac:dyDescent="0.3">
      <c r="A68" s="17" t="s">
        <v>233</v>
      </c>
    </row>
    <row r="69" spans="1:2" x14ac:dyDescent="0.3">
      <c r="A69" s="16" t="s">
        <v>428</v>
      </c>
      <c r="B69" s="16" t="s">
        <v>61</v>
      </c>
    </row>
    <row r="70" spans="1:2" x14ac:dyDescent="0.3">
      <c r="A70" t="s">
        <v>100</v>
      </c>
      <c r="B70">
        <v>3880313683968</v>
      </c>
    </row>
    <row r="71" spans="1:2" x14ac:dyDescent="0.3">
      <c r="A71" t="s">
        <v>110</v>
      </c>
      <c r="B71">
        <v>3776674529280</v>
      </c>
    </row>
    <row r="72" spans="1:2" x14ac:dyDescent="0.3">
      <c r="A72" t="s">
        <v>103</v>
      </c>
      <c r="B72">
        <v>8.7028700000000008</v>
      </c>
    </row>
    <row r="73" spans="1:2" x14ac:dyDescent="0.3">
      <c r="A73" t="s">
        <v>123</v>
      </c>
      <c r="B73">
        <v>6.2338886000000002</v>
      </c>
    </row>
    <row r="74" spans="1:2" x14ac:dyDescent="0.3">
      <c r="A74" t="s">
        <v>89</v>
      </c>
      <c r="B74">
        <v>15.919719000000001</v>
      </c>
    </row>
    <row r="75" spans="1:2" x14ac:dyDescent="0.3">
      <c r="A75" t="s">
        <v>90</v>
      </c>
      <c r="B75">
        <v>20.658080000000002</v>
      </c>
    </row>
    <row r="76" spans="1:2" x14ac:dyDescent="0.3">
      <c r="A76" t="s">
        <v>88</v>
      </c>
      <c r="B76">
        <v>1.2110000000000001</v>
      </c>
    </row>
    <row r="77" spans="1:2" x14ac:dyDescent="0.3">
      <c r="A77" t="s">
        <v>133</v>
      </c>
      <c r="B77">
        <v>8.4700000000000006</v>
      </c>
    </row>
    <row r="78" spans="1:2" x14ac:dyDescent="0.3">
      <c r="A78" t="s">
        <v>134</v>
      </c>
      <c r="B78">
        <v>21.81</v>
      </c>
    </row>
    <row r="79" spans="1:2" x14ac:dyDescent="0.3">
      <c r="A79" t="s">
        <v>87</v>
      </c>
      <c r="B79">
        <v>4.2600001999999998E-2</v>
      </c>
    </row>
    <row r="80" spans="1:2" x14ac:dyDescent="0.3">
      <c r="A80" t="s">
        <v>156</v>
      </c>
      <c r="B80">
        <v>18.859000000000002</v>
      </c>
    </row>
    <row r="81" spans="1:2" x14ac:dyDescent="0.3">
      <c r="A81" t="s">
        <v>146</v>
      </c>
      <c r="B81">
        <v>1.3770500000000001</v>
      </c>
    </row>
    <row r="82" spans="1:2" x14ac:dyDescent="0.3">
      <c r="A82" t="s">
        <v>147</v>
      </c>
      <c r="B82" s="18" t="s">
        <v>435</v>
      </c>
    </row>
    <row r="83" spans="1:2" x14ac:dyDescent="0.3">
      <c r="A83" t="s">
        <v>148</v>
      </c>
      <c r="B83">
        <v>14</v>
      </c>
    </row>
    <row r="84" spans="1:2" x14ac:dyDescent="0.3">
      <c r="A84" t="s">
        <v>223</v>
      </c>
      <c r="B84" s="18" t="s">
        <v>436</v>
      </c>
    </row>
    <row r="85" spans="1:2" x14ac:dyDescent="0.3">
      <c r="A85" t="s">
        <v>216</v>
      </c>
      <c r="B85">
        <v>23.801950000000001</v>
      </c>
    </row>
    <row r="87" spans="1:2" x14ac:dyDescent="0.3">
      <c r="A87" s="17" t="s">
        <v>234</v>
      </c>
    </row>
    <row r="88" spans="1:2" x14ac:dyDescent="0.3">
      <c r="A88" s="16" t="s">
        <v>428</v>
      </c>
      <c r="B88" s="16" t="s">
        <v>61</v>
      </c>
    </row>
    <row r="89" spans="1:2" x14ac:dyDescent="0.3">
      <c r="A89" t="s">
        <v>84</v>
      </c>
      <c r="B89">
        <v>0.88</v>
      </c>
    </row>
    <row r="90" spans="1:2" x14ac:dyDescent="0.3">
      <c r="A90" t="s">
        <v>85</v>
      </c>
      <c r="B90">
        <v>0.28000000000000003</v>
      </c>
    </row>
    <row r="91" spans="1:2" x14ac:dyDescent="0.3">
      <c r="A91" t="s">
        <v>106</v>
      </c>
      <c r="B91">
        <v>0.85</v>
      </c>
    </row>
    <row r="92" spans="1:2" x14ac:dyDescent="0.3">
      <c r="A92" t="s">
        <v>107</v>
      </c>
      <c r="B92">
        <v>2.6499563999999999E-3</v>
      </c>
    </row>
    <row r="93" spans="1:2" x14ac:dyDescent="0.3">
      <c r="A93" t="s">
        <v>137</v>
      </c>
      <c r="B93">
        <v>0.22</v>
      </c>
    </row>
    <row r="94" spans="1:2" x14ac:dyDescent="0.3">
      <c r="A94" t="s">
        <v>138</v>
      </c>
      <c r="B94">
        <v>1788480000</v>
      </c>
    </row>
    <row r="95" spans="1:2" x14ac:dyDescent="0.3">
      <c r="A95" t="s">
        <v>206</v>
      </c>
      <c r="B95">
        <v>1789344000</v>
      </c>
    </row>
    <row r="96" spans="1:2" x14ac:dyDescent="0.3">
      <c r="A96" t="s">
        <v>86</v>
      </c>
      <c r="B96">
        <v>1788480000</v>
      </c>
    </row>
    <row r="98" spans="1:2" x14ac:dyDescent="0.3">
      <c r="A98" s="17" t="s">
        <v>235</v>
      </c>
    </row>
    <row r="99" spans="1:2" x14ac:dyDescent="0.3">
      <c r="A99" s="16" t="s">
        <v>428</v>
      </c>
      <c r="B99" s="16" t="s">
        <v>61</v>
      </c>
    </row>
    <row r="100" spans="1:2" x14ac:dyDescent="0.3">
      <c r="A100" t="s">
        <v>129</v>
      </c>
      <c r="B100">
        <v>19.93</v>
      </c>
    </row>
    <row r="101" spans="1:2" x14ac:dyDescent="0.3">
      <c r="A101" t="s">
        <v>130</v>
      </c>
      <c r="B101">
        <v>15.358639999999999</v>
      </c>
    </row>
    <row r="102" spans="1:2" x14ac:dyDescent="0.3">
      <c r="A102" t="s">
        <v>213</v>
      </c>
      <c r="B102">
        <v>19.93</v>
      </c>
    </row>
    <row r="103" spans="1:2" x14ac:dyDescent="0.3">
      <c r="A103" t="s">
        <v>214</v>
      </c>
      <c r="B103">
        <v>15.358639999999999</v>
      </c>
    </row>
    <row r="104" spans="1:2" x14ac:dyDescent="0.3">
      <c r="A104" t="s">
        <v>215</v>
      </c>
      <c r="B104">
        <v>13.33</v>
      </c>
    </row>
    <row r="105" spans="1:2" x14ac:dyDescent="0.3">
      <c r="A105" t="s">
        <v>128</v>
      </c>
      <c r="B105">
        <v>244118994944</v>
      </c>
    </row>
    <row r="106" spans="1:2" x14ac:dyDescent="0.3">
      <c r="A106" t="s">
        <v>155</v>
      </c>
      <c r="B106">
        <v>445865984000</v>
      </c>
    </row>
    <row r="107" spans="1:2" x14ac:dyDescent="0.3">
      <c r="A107" t="s">
        <v>157</v>
      </c>
      <c r="B107">
        <v>36.841999999999999</v>
      </c>
    </row>
    <row r="108" spans="1:2" x14ac:dyDescent="0.3">
      <c r="A108" t="s">
        <v>160</v>
      </c>
      <c r="B108">
        <v>271517007872</v>
      </c>
    </row>
    <row r="109" spans="1:2" x14ac:dyDescent="0.3">
      <c r="A109" t="s">
        <v>151</v>
      </c>
      <c r="B109">
        <v>173164003328</v>
      </c>
    </row>
    <row r="110" spans="1:2" x14ac:dyDescent="0.3">
      <c r="A110" t="s">
        <v>162</v>
      </c>
      <c r="B110">
        <v>185675005952</v>
      </c>
    </row>
    <row r="111" spans="1:2" x14ac:dyDescent="0.3">
      <c r="A111" t="s">
        <v>161</v>
      </c>
      <c r="B111">
        <v>22665000960</v>
      </c>
    </row>
    <row r="112" spans="1:2" x14ac:dyDescent="0.3">
      <c r="A112" t="s">
        <v>149</v>
      </c>
      <c r="B112">
        <v>242473992192</v>
      </c>
    </row>
    <row r="113" spans="1:2" x14ac:dyDescent="0.3">
      <c r="A113" t="s">
        <v>150</v>
      </c>
      <c r="B113">
        <v>19.826000000000001</v>
      </c>
    </row>
    <row r="114" spans="1:2" x14ac:dyDescent="0.3">
      <c r="A114" t="s">
        <v>152</v>
      </c>
      <c r="B114">
        <v>120790999040</v>
      </c>
    </row>
    <row r="115" spans="1:2" x14ac:dyDescent="0.3">
      <c r="A115" t="s">
        <v>122</v>
      </c>
      <c r="B115">
        <v>50.896000000000001</v>
      </c>
    </row>
    <row r="116" spans="1:2" x14ac:dyDescent="0.3">
      <c r="A116" t="s">
        <v>163</v>
      </c>
      <c r="B116">
        <v>2.94</v>
      </c>
    </row>
    <row r="117" spans="1:2" x14ac:dyDescent="0.3">
      <c r="A117" t="s">
        <v>164</v>
      </c>
      <c r="B117">
        <v>0.24199999999999999</v>
      </c>
    </row>
    <row r="118" spans="1:2" x14ac:dyDescent="0.3">
      <c r="A118" t="s">
        <v>127</v>
      </c>
      <c r="B118">
        <v>2.9790000000000001</v>
      </c>
    </row>
    <row r="119" spans="1:2" x14ac:dyDescent="0.3">
      <c r="A119" t="s">
        <v>158</v>
      </c>
      <c r="B119">
        <v>0.12958998999999999</v>
      </c>
    </row>
    <row r="120" spans="1:2" x14ac:dyDescent="0.3">
      <c r="A120" t="s">
        <v>159</v>
      </c>
      <c r="B120">
        <v>0.48676000000000003</v>
      </c>
    </row>
    <row r="121" spans="1:2" x14ac:dyDescent="0.3">
      <c r="A121" t="s">
        <v>165</v>
      </c>
      <c r="B121">
        <v>0.60897000000000001</v>
      </c>
    </row>
    <row r="122" spans="1:2" x14ac:dyDescent="0.3">
      <c r="A122" t="s">
        <v>167</v>
      </c>
      <c r="B122">
        <v>0.34033000000000002</v>
      </c>
    </row>
    <row r="123" spans="1:2" x14ac:dyDescent="0.3">
      <c r="A123" t="s">
        <v>166</v>
      </c>
      <c r="B123">
        <v>0.38838001999999999</v>
      </c>
    </row>
    <row r="124" spans="1:2" x14ac:dyDescent="0.3">
      <c r="A124" t="s">
        <v>153</v>
      </c>
      <c r="B124">
        <v>2.4710000000000001</v>
      </c>
    </row>
    <row r="125" spans="1:2" x14ac:dyDescent="0.3">
      <c r="A125" t="s">
        <v>154</v>
      </c>
      <c r="B125">
        <v>2.7240000000000002</v>
      </c>
    </row>
    <row r="126" spans="1:2" x14ac:dyDescent="0.3">
      <c r="A126" t="s">
        <v>168</v>
      </c>
      <c r="B126" s="18" t="s">
        <v>108</v>
      </c>
    </row>
    <row r="128" spans="1:2" x14ac:dyDescent="0.3">
      <c r="A128" s="17" t="s">
        <v>236</v>
      </c>
    </row>
    <row r="129" spans="1:2" x14ac:dyDescent="0.3">
      <c r="A129" s="16" t="s">
        <v>428</v>
      </c>
      <c r="B129" s="16" t="s">
        <v>61</v>
      </c>
    </row>
    <row r="130" spans="1:2" x14ac:dyDescent="0.3">
      <c r="A130" t="s">
        <v>112</v>
      </c>
      <c r="B130">
        <v>5527000000</v>
      </c>
    </row>
    <row r="131" spans="1:2" x14ac:dyDescent="0.3">
      <c r="A131" t="s">
        <v>121</v>
      </c>
      <c r="B131">
        <v>12229934831</v>
      </c>
    </row>
    <row r="132" spans="1:2" x14ac:dyDescent="0.3">
      <c r="A132" t="s">
        <v>111</v>
      </c>
      <c r="B132">
        <v>10879808000</v>
      </c>
    </row>
    <row r="133" spans="1:2" x14ac:dyDescent="0.3">
      <c r="A133" t="s">
        <v>113</v>
      </c>
      <c r="B133">
        <v>51856041</v>
      </c>
    </row>
    <row r="134" spans="1:2" x14ac:dyDescent="0.3">
      <c r="A134" t="s">
        <v>114</v>
      </c>
      <c r="B134">
        <v>45274909</v>
      </c>
    </row>
    <row r="135" spans="1:2" x14ac:dyDescent="0.3">
      <c r="A135" t="s">
        <v>115</v>
      </c>
      <c r="B135">
        <v>1788134400</v>
      </c>
    </row>
    <row r="136" spans="1:2" x14ac:dyDescent="0.3">
      <c r="A136" t="s">
        <v>116</v>
      </c>
      <c r="B136">
        <v>1790726400</v>
      </c>
    </row>
    <row r="137" spans="1:2" x14ac:dyDescent="0.3">
      <c r="A137" t="s">
        <v>117</v>
      </c>
      <c r="B137">
        <v>4.1999999999999997E-3</v>
      </c>
    </row>
    <row r="138" spans="1:2" x14ac:dyDescent="0.3">
      <c r="A138" t="s">
        <v>120</v>
      </c>
      <c r="B138">
        <v>2.96</v>
      </c>
    </row>
    <row r="139" spans="1:2" x14ac:dyDescent="0.3">
      <c r="A139" t="s">
        <v>118</v>
      </c>
      <c r="B139">
        <v>5.2199999999999998E-3</v>
      </c>
    </row>
    <row r="140" spans="1:2" x14ac:dyDescent="0.3">
      <c r="A140" t="s">
        <v>119</v>
      </c>
      <c r="B140">
        <v>0.62048000000000003</v>
      </c>
    </row>
    <row r="142" spans="1:2" x14ac:dyDescent="0.3">
      <c r="A142" s="17" t="s">
        <v>237</v>
      </c>
    </row>
    <row r="143" spans="1:2" x14ac:dyDescent="0.3">
      <c r="A143" s="16" t="s">
        <v>428</v>
      </c>
      <c r="B143" s="16" t="s">
        <v>61</v>
      </c>
    </row>
    <row r="144" spans="1:2" x14ac:dyDescent="0.3">
      <c r="A144" t="s">
        <v>142</v>
      </c>
      <c r="B144">
        <v>485</v>
      </c>
    </row>
    <row r="145" spans="1:2" x14ac:dyDescent="0.3">
      <c r="A145" t="s">
        <v>143</v>
      </c>
      <c r="B145">
        <v>340</v>
      </c>
    </row>
    <row r="146" spans="1:2" x14ac:dyDescent="0.3">
      <c r="A146" t="s">
        <v>144</v>
      </c>
      <c r="B146">
        <v>422.35714999999999</v>
      </c>
    </row>
    <row r="147" spans="1:2" x14ac:dyDescent="0.3">
      <c r="A147" t="s">
        <v>145</v>
      </c>
      <c r="B147">
        <v>427.5</v>
      </c>
    </row>
    <row r="149" spans="1:2" x14ac:dyDescent="0.3">
      <c r="A149" s="17" t="s">
        <v>238</v>
      </c>
    </row>
    <row r="150" spans="1:2" x14ac:dyDescent="0.3">
      <c r="A150" s="16" t="s">
        <v>428</v>
      </c>
      <c r="B150" s="16" t="s">
        <v>61</v>
      </c>
    </row>
    <row r="151" spans="1:2" x14ac:dyDescent="0.3">
      <c r="A151" t="s">
        <v>104</v>
      </c>
      <c r="B151">
        <v>339.58420000000001</v>
      </c>
    </row>
    <row r="152" spans="1:2" x14ac:dyDescent="0.3">
      <c r="A152" t="s">
        <v>217</v>
      </c>
      <c r="B152">
        <v>-22.304200000000002</v>
      </c>
    </row>
    <row r="153" spans="1:2" x14ac:dyDescent="0.3">
      <c r="A153" t="s">
        <v>218</v>
      </c>
      <c r="B153">
        <v>-6.5680909999999995E-2</v>
      </c>
    </row>
    <row r="154" spans="1:2" x14ac:dyDescent="0.3">
      <c r="A154" t="s">
        <v>105</v>
      </c>
      <c r="B154">
        <v>339.43799999999999</v>
      </c>
    </row>
    <row r="155" spans="1:2" x14ac:dyDescent="0.3">
      <c r="A155" t="s">
        <v>219</v>
      </c>
      <c r="B155">
        <v>-22.157990000000002</v>
      </c>
    </row>
    <row r="156" spans="1:2" x14ac:dyDescent="0.3">
      <c r="A156" t="s">
        <v>220</v>
      </c>
      <c r="B156">
        <v>-6.5278459999999996E-2</v>
      </c>
    </row>
    <row r="157" spans="1:2" x14ac:dyDescent="0.3">
      <c r="A157" t="s">
        <v>101</v>
      </c>
      <c r="B157">
        <v>264.94</v>
      </c>
    </row>
    <row r="158" spans="1:2" x14ac:dyDescent="0.3">
      <c r="A158" t="s">
        <v>102</v>
      </c>
      <c r="B158">
        <v>404.47</v>
      </c>
    </row>
    <row r="159" spans="1:2" x14ac:dyDescent="0.3">
      <c r="A159" t="s">
        <v>200</v>
      </c>
      <c r="B159">
        <v>52.339995999999999</v>
      </c>
    </row>
    <row r="160" spans="1:2" x14ac:dyDescent="0.3">
      <c r="A160" t="s">
        <v>201</v>
      </c>
      <c r="B160">
        <v>0.19755413999999999</v>
      </c>
    </row>
    <row r="161" spans="1:2" x14ac:dyDescent="0.3">
      <c r="A161" t="s">
        <v>203</v>
      </c>
      <c r="B161">
        <v>-87.19</v>
      </c>
    </row>
    <row r="162" spans="1:2" x14ac:dyDescent="0.3">
      <c r="A162" t="s">
        <v>204</v>
      </c>
      <c r="B162">
        <v>-0.21556605000000001</v>
      </c>
    </row>
    <row r="163" spans="1:2" x14ac:dyDescent="0.3">
      <c r="A163" t="s">
        <v>202</v>
      </c>
      <c r="B163" s="18" t="s">
        <v>437</v>
      </c>
    </row>
    <row r="164" spans="1:2" x14ac:dyDescent="0.3">
      <c r="A164" t="s">
        <v>205</v>
      </c>
      <c r="B164">
        <v>17.541588000000001</v>
      </c>
    </row>
    <row r="165" spans="1:2" x14ac:dyDescent="0.3">
      <c r="A165" t="s">
        <v>136</v>
      </c>
      <c r="B165">
        <v>0.10887313</v>
      </c>
    </row>
    <row r="166" spans="1:2" x14ac:dyDescent="0.3">
      <c r="A166" t="s">
        <v>135</v>
      </c>
      <c r="B166">
        <v>0.17541587</v>
      </c>
    </row>
    <row r="168" spans="1:2" x14ac:dyDescent="0.3">
      <c r="A168" s="17" t="s">
        <v>239</v>
      </c>
    </row>
    <row r="169" spans="1:2" x14ac:dyDescent="0.3">
      <c r="A169" s="16" t="s">
        <v>428</v>
      </c>
      <c r="B169" s="16" t="s">
        <v>61</v>
      </c>
    </row>
    <row r="170" spans="1:2" x14ac:dyDescent="0.3">
      <c r="A170" t="s">
        <v>124</v>
      </c>
      <c r="B170">
        <v>1767139200</v>
      </c>
    </row>
    <row r="171" spans="1:2" x14ac:dyDescent="0.3">
      <c r="A171" t="s">
        <v>125</v>
      </c>
      <c r="B171">
        <v>1798675200</v>
      </c>
    </row>
    <row r="172" spans="1:2" x14ac:dyDescent="0.3">
      <c r="A172" t="s">
        <v>126</v>
      </c>
      <c r="B172">
        <v>1782777600</v>
      </c>
    </row>
    <row r="173" spans="1:2" x14ac:dyDescent="0.3">
      <c r="A173" t="s">
        <v>207</v>
      </c>
      <c r="B173">
        <v>1793217600</v>
      </c>
    </row>
    <row r="174" spans="1:2" x14ac:dyDescent="0.3">
      <c r="A174" t="s">
        <v>208</v>
      </c>
      <c r="B174">
        <v>1793217600</v>
      </c>
    </row>
    <row r="175" spans="1:2" x14ac:dyDescent="0.3">
      <c r="A175" t="s">
        <v>209</v>
      </c>
      <c r="B175">
        <v>1793217600</v>
      </c>
    </row>
    <row r="176" spans="1:2" x14ac:dyDescent="0.3">
      <c r="A176" t="s">
        <v>210</v>
      </c>
      <c r="B176">
        <v>1793219400</v>
      </c>
    </row>
    <row r="177" spans="1:4" x14ac:dyDescent="0.3">
      <c r="A177" t="s">
        <v>211</v>
      </c>
      <c r="B177">
        <v>1793219400</v>
      </c>
    </row>
    <row r="178" spans="1:4" x14ac:dyDescent="0.3">
      <c r="A178" t="s">
        <v>212</v>
      </c>
      <c r="B178" t="b">
        <v>0</v>
      </c>
    </row>
    <row r="180" spans="1:4" x14ac:dyDescent="0.3">
      <c r="A180" s="17" t="s">
        <v>240</v>
      </c>
    </row>
    <row r="181" spans="1:4" x14ac:dyDescent="0.3">
      <c r="A181" s="16" t="s">
        <v>428</v>
      </c>
      <c r="B181" s="16" t="s">
        <v>61</v>
      </c>
    </row>
    <row r="182" spans="1:4" x14ac:dyDescent="0.3">
      <c r="A182" t="s">
        <v>131</v>
      </c>
      <c r="B182" s="18" t="s">
        <v>438</v>
      </c>
    </row>
    <row r="183" spans="1:4" x14ac:dyDescent="0.3">
      <c r="A183" t="s">
        <v>132</v>
      </c>
      <c r="B183">
        <v>1658102400</v>
      </c>
    </row>
    <row r="184" spans="1:4" x14ac:dyDescent="0.3">
      <c r="A184" t="s">
        <v>225</v>
      </c>
      <c r="B184">
        <v>1092922200000</v>
      </c>
    </row>
    <row r="185" spans="1:4" x14ac:dyDescent="0.3">
      <c r="A185" t="s">
        <v>184</v>
      </c>
      <c r="B185" t="b">
        <v>0</v>
      </c>
    </row>
    <row r="186" spans="1:4" x14ac:dyDescent="0.3">
      <c r="A186" t="s">
        <v>193</v>
      </c>
      <c r="B186" t="b">
        <v>0</v>
      </c>
    </row>
    <row r="187" spans="1:4" x14ac:dyDescent="0.3">
      <c r="A187" t="s">
        <v>109</v>
      </c>
      <c r="B187" t="b">
        <v>0</v>
      </c>
    </row>
    <row r="188" spans="1:4" x14ac:dyDescent="0.3">
      <c r="A188" t="s">
        <v>221</v>
      </c>
      <c r="B188">
        <v>15</v>
      </c>
    </row>
    <row r="190" spans="1:4" x14ac:dyDescent="0.3">
      <c r="A190" s="17" t="s">
        <v>248</v>
      </c>
    </row>
    <row r="191" spans="1:4" x14ac:dyDescent="0.3">
      <c r="A191" s="16" t="s">
        <v>227</v>
      </c>
      <c r="B191" s="16" t="s">
        <v>228</v>
      </c>
      <c r="C191" s="16" t="s">
        <v>229</v>
      </c>
      <c r="D191" s="16" t="s">
        <v>230</v>
      </c>
    </row>
    <row r="192" spans="1:4" x14ac:dyDescent="0.3">
      <c r="A192" t="s">
        <v>369</v>
      </c>
      <c r="B192" t="s">
        <v>370</v>
      </c>
      <c r="C192">
        <v>52</v>
      </c>
      <c r="D192">
        <v>10906079</v>
      </c>
    </row>
    <row r="193" spans="1:4" x14ac:dyDescent="0.3">
      <c r="A193" t="s">
        <v>371</v>
      </c>
      <c r="B193" t="s">
        <v>372</v>
      </c>
      <c r="C193">
        <v>67</v>
      </c>
      <c r="D193">
        <v>1015596</v>
      </c>
    </row>
    <row r="194" spans="1:4" x14ac:dyDescent="0.3">
      <c r="A194" t="s">
        <v>373</v>
      </c>
      <c r="B194" t="s">
        <v>374</v>
      </c>
      <c r="C194">
        <v>52</v>
      </c>
      <c r="D194">
        <v>1</v>
      </c>
    </row>
    <row r="195" spans="1:4" x14ac:dyDescent="0.3">
      <c r="A195" t="s">
        <v>375</v>
      </c>
      <c r="B195" t="s">
        <v>374</v>
      </c>
      <c r="C195">
        <v>51</v>
      </c>
      <c r="D195">
        <v>1</v>
      </c>
    </row>
    <row r="196" spans="1:4" x14ac:dyDescent="0.3">
      <c r="A196" t="s">
        <v>380</v>
      </c>
      <c r="B196" t="s">
        <v>381</v>
      </c>
      <c r="C196">
        <v>52</v>
      </c>
      <c r="D196">
        <v>1087961</v>
      </c>
    </row>
    <row r="197" spans="1:4" x14ac:dyDescent="0.3">
      <c r="A197" t="s">
        <v>376</v>
      </c>
      <c r="B197" t="s">
        <v>377</v>
      </c>
      <c r="C197">
        <v>64</v>
      </c>
      <c r="D197">
        <v>1015596</v>
      </c>
    </row>
    <row r="198" spans="1:4" x14ac:dyDescent="0.3">
      <c r="A198" t="s">
        <v>378</v>
      </c>
      <c r="B198" t="s">
        <v>379</v>
      </c>
      <c r="C198">
        <v>54</v>
      </c>
      <c r="D198">
        <v>1623997</v>
      </c>
    </row>
    <row r="199" spans="1:4" x14ac:dyDescent="0.3">
      <c r="A199" t="s">
        <v>439</v>
      </c>
      <c r="B199" t="s">
        <v>440</v>
      </c>
      <c r="C199">
        <v>46</v>
      </c>
    </row>
    <row r="200" spans="1:4" x14ac:dyDescent="0.3">
      <c r="A200" t="s">
        <v>441</v>
      </c>
      <c r="B200" t="s">
        <v>442</v>
      </c>
    </row>
    <row r="201" spans="1:4" x14ac:dyDescent="0.3">
      <c r="A201" t="s">
        <v>443</v>
      </c>
      <c r="B201" t="s">
        <v>444</v>
      </c>
      <c r="C201">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40FF-7A7F-4D12-B481-6FAA759256EE}">
  <dimension ref="A1:E51"/>
  <sheetViews>
    <sheetView workbookViewId="0"/>
  </sheetViews>
  <sheetFormatPr defaultRowHeight="14.4" x14ac:dyDescent="0.3"/>
  <cols>
    <col min="1" max="1" width="44.77734375" customWidth="1"/>
    <col min="2" max="8" width="18.77734375" customWidth="1"/>
  </cols>
  <sheetData>
    <row r="1" spans="1:5" x14ac:dyDescent="0.3">
      <c r="A1" s="16" t="s">
        <v>445</v>
      </c>
    </row>
    <row r="3" spans="1:5" x14ac:dyDescent="0.3">
      <c r="A3" t="s">
        <v>28</v>
      </c>
      <c r="B3" s="1" t="s">
        <v>446</v>
      </c>
      <c r="C3" s="1" t="s">
        <v>244</v>
      </c>
      <c r="D3" s="1" t="s">
        <v>245</v>
      </c>
      <c r="E3" s="1" t="s">
        <v>246</v>
      </c>
    </row>
    <row r="4" spans="1:5" x14ac:dyDescent="0.3">
      <c r="A4" t="s">
        <v>27</v>
      </c>
      <c r="B4" s="19">
        <v>402836000000</v>
      </c>
      <c r="C4" s="19">
        <v>350018000000</v>
      </c>
      <c r="D4" s="19">
        <v>307394000000</v>
      </c>
      <c r="E4" s="19">
        <v>282836000000</v>
      </c>
    </row>
    <row r="5" spans="1:5" x14ac:dyDescent="0.3">
      <c r="A5" t="s">
        <v>26</v>
      </c>
      <c r="B5" s="19">
        <v>402836000000</v>
      </c>
      <c r="C5" s="19">
        <v>350018000000</v>
      </c>
      <c r="D5" s="19">
        <v>307394000000</v>
      </c>
      <c r="E5" s="19">
        <v>282836000000</v>
      </c>
    </row>
    <row r="6" spans="1:5" x14ac:dyDescent="0.3">
      <c r="A6" t="s">
        <v>42</v>
      </c>
      <c r="B6" s="19">
        <v>162535000000</v>
      </c>
      <c r="C6" s="19">
        <v>146306000000</v>
      </c>
      <c r="D6" s="19">
        <v>133332000000</v>
      </c>
      <c r="E6" s="19">
        <v>126203000000</v>
      </c>
    </row>
    <row r="7" spans="1:5" x14ac:dyDescent="0.3">
      <c r="A7" t="s">
        <v>41</v>
      </c>
      <c r="B7" s="19">
        <v>240301000000</v>
      </c>
      <c r="C7" s="19">
        <v>203712000000</v>
      </c>
      <c r="D7" s="19">
        <v>174062000000</v>
      </c>
      <c r="E7" s="19">
        <v>156633000000</v>
      </c>
    </row>
    <row r="8" spans="1:5" x14ac:dyDescent="0.3">
      <c r="A8" t="s">
        <v>393</v>
      </c>
      <c r="B8" s="19">
        <v>21482000000</v>
      </c>
      <c r="C8" s="19">
        <v>14188000000</v>
      </c>
      <c r="D8" s="19">
        <v>16425000000</v>
      </c>
      <c r="E8" s="19">
        <v>15724000000</v>
      </c>
    </row>
    <row r="9" spans="1:5" x14ac:dyDescent="0.3">
      <c r="A9" t="s">
        <v>394</v>
      </c>
      <c r="B9" s="19">
        <v>21482000000</v>
      </c>
      <c r="C9" s="19">
        <v>14188000000</v>
      </c>
      <c r="D9" s="19">
        <v>16425000000</v>
      </c>
      <c r="E9" s="19">
        <v>15724000000</v>
      </c>
    </row>
    <row r="10" spans="1:5" x14ac:dyDescent="0.3">
      <c r="A10" t="s">
        <v>395</v>
      </c>
      <c r="B10" s="19">
        <v>28693000000</v>
      </c>
      <c r="C10" s="19">
        <v>27808000000</v>
      </c>
      <c r="D10" s="19">
        <v>27917000000</v>
      </c>
      <c r="E10" s="19">
        <v>26567000000</v>
      </c>
    </row>
    <row r="11" spans="1:5" x14ac:dyDescent="0.3">
      <c r="A11" t="s">
        <v>25</v>
      </c>
      <c r="B11" s="19">
        <v>50175000000</v>
      </c>
      <c r="C11" s="19">
        <v>41996000000</v>
      </c>
      <c r="D11" s="19">
        <v>44342000000</v>
      </c>
      <c r="E11" s="19">
        <v>42291000000</v>
      </c>
    </row>
    <row r="12" spans="1:5" x14ac:dyDescent="0.3">
      <c r="A12" t="s">
        <v>60</v>
      </c>
      <c r="B12" s="19">
        <v>61087000000</v>
      </c>
      <c r="C12" s="19">
        <v>49326000000</v>
      </c>
      <c r="D12" s="19">
        <v>45427000000</v>
      </c>
      <c r="E12" s="19">
        <v>39500000000</v>
      </c>
    </row>
    <row r="13" spans="1:5" x14ac:dyDescent="0.3">
      <c r="A13" t="s">
        <v>24</v>
      </c>
      <c r="B13" s="19">
        <v>111262000000</v>
      </c>
      <c r="C13" s="19">
        <v>91322000000</v>
      </c>
      <c r="D13" s="19">
        <v>89769000000</v>
      </c>
      <c r="E13" s="19">
        <v>81791000000</v>
      </c>
    </row>
    <row r="14" spans="1:5" x14ac:dyDescent="0.3">
      <c r="A14" t="s">
        <v>40</v>
      </c>
      <c r="B14" s="19">
        <v>129039000000</v>
      </c>
      <c r="C14" s="19">
        <v>112390000000</v>
      </c>
      <c r="D14" s="19">
        <v>84293000000</v>
      </c>
      <c r="E14" s="19">
        <v>74842000000</v>
      </c>
    </row>
    <row r="15" spans="1:5" x14ac:dyDescent="0.3">
      <c r="A15" t="s">
        <v>39</v>
      </c>
      <c r="B15" s="19">
        <v>4337000000</v>
      </c>
      <c r="C15" s="19">
        <v>4482000000</v>
      </c>
      <c r="D15" s="19">
        <v>3865000000</v>
      </c>
      <c r="E15" s="19">
        <v>2174000000</v>
      </c>
    </row>
    <row r="16" spans="1:5" x14ac:dyDescent="0.3">
      <c r="A16" t="s">
        <v>38</v>
      </c>
      <c r="B16" s="19">
        <v>736000000</v>
      </c>
      <c r="C16" s="19">
        <v>268000000</v>
      </c>
      <c r="D16" s="19">
        <v>308000000</v>
      </c>
      <c r="E16" s="19">
        <v>357000000</v>
      </c>
    </row>
    <row r="17" spans="1:5" x14ac:dyDescent="0.3">
      <c r="A17" t="s">
        <v>37</v>
      </c>
      <c r="B17" s="19">
        <v>3601000000</v>
      </c>
      <c r="C17" s="19">
        <v>4214000000</v>
      </c>
      <c r="D17" s="19">
        <v>3557000000</v>
      </c>
      <c r="E17" s="19">
        <v>1817000000</v>
      </c>
    </row>
    <row r="18" spans="1:5" x14ac:dyDescent="0.3">
      <c r="A18" t="s">
        <v>396</v>
      </c>
      <c r="B18" s="19">
        <v>24238000000</v>
      </c>
      <c r="C18" s="19">
        <v>2262000000</v>
      </c>
      <c r="D18" s="19">
        <v>-2061000000</v>
      </c>
      <c r="E18" s="19">
        <v>-6173000000</v>
      </c>
    </row>
    <row r="19" spans="1:5" x14ac:dyDescent="0.3">
      <c r="A19" t="s">
        <v>397</v>
      </c>
      <c r="B19" s="19">
        <v>281000000</v>
      </c>
      <c r="C19" s="19">
        <v>-188000000</v>
      </c>
      <c r="D19" s="19">
        <v>-628000000</v>
      </c>
      <c r="E19" s="19">
        <v>-337000000</v>
      </c>
    </row>
    <row r="20" spans="1:5" x14ac:dyDescent="0.3">
      <c r="A20" t="s">
        <v>447</v>
      </c>
      <c r="B20" s="19">
        <v>-281000000</v>
      </c>
      <c r="C20" s="19">
        <v>188000000</v>
      </c>
      <c r="D20" s="19">
        <v>628000000</v>
      </c>
      <c r="E20" s="19">
        <v>337000000</v>
      </c>
    </row>
    <row r="21" spans="1:5" x14ac:dyDescent="0.3">
      <c r="A21" t="s">
        <v>23</v>
      </c>
      <c r="B21" s="19">
        <v>281000000</v>
      </c>
      <c r="C21" s="19">
        <v>-188000000</v>
      </c>
      <c r="D21" s="19">
        <v>-628000000</v>
      </c>
      <c r="E21" s="19">
        <v>-337000000</v>
      </c>
    </row>
    <row r="22" spans="1:5" x14ac:dyDescent="0.3">
      <c r="A22" t="s">
        <v>36</v>
      </c>
      <c r="B22" s="19">
        <v>1667000000</v>
      </c>
      <c r="C22" s="19">
        <v>1137000000</v>
      </c>
      <c r="D22" s="19">
        <v>556000000</v>
      </c>
      <c r="E22" s="19">
        <v>1179000000</v>
      </c>
    </row>
    <row r="23" spans="1:5" x14ac:dyDescent="0.3">
      <c r="A23" t="s">
        <v>35</v>
      </c>
      <c r="B23" s="19">
        <v>26186000000</v>
      </c>
      <c r="C23" s="19">
        <v>3211000000</v>
      </c>
      <c r="D23" s="19">
        <v>-2133000000</v>
      </c>
      <c r="E23" s="19">
        <v>-5331000000</v>
      </c>
    </row>
    <row r="24" spans="1:5" x14ac:dyDescent="0.3">
      <c r="A24" t="s">
        <v>22</v>
      </c>
      <c r="B24" s="19">
        <v>158826000000</v>
      </c>
      <c r="C24" s="19">
        <v>119815000000</v>
      </c>
      <c r="D24" s="19">
        <v>85717000000</v>
      </c>
      <c r="E24" s="19">
        <v>71328000000</v>
      </c>
    </row>
    <row r="25" spans="1:5" x14ac:dyDescent="0.3">
      <c r="A25" t="s">
        <v>21</v>
      </c>
      <c r="B25" s="19">
        <v>26656000000</v>
      </c>
      <c r="C25" s="19">
        <v>19697000000</v>
      </c>
      <c r="D25" s="19">
        <v>11922000000</v>
      </c>
      <c r="E25" s="19">
        <v>11356000000</v>
      </c>
    </row>
    <row r="26" spans="1:5" x14ac:dyDescent="0.3">
      <c r="A26" t="s">
        <v>20</v>
      </c>
      <c r="B26" s="19">
        <v>132170000000</v>
      </c>
      <c r="C26" s="19">
        <v>100118000000</v>
      </c>
      <c r="D26" s="19">
        <v>73795000000</v>
      </c>
      <c r="E26" s="19">
        <v>59972000000</v>
      </c>
    </row>
    <row r="27" spans="1:5" x14ac:dyDescent="0.3">
      <c r="A27" t="s">
        <v>19</v>
      </c>
      <c r="B27" s="19">
        <v>132170000000</v>
      </c>
      <c r="C27" s="19">
        <v>100118000000</v>
      </c>
      <c r="D27" s="19">
        <v>73795000000</v>
      </c>
      <c r="E27" s="19">
        <v>59972000000</v>
      </c>
    </row>
    <row r="28" spans="1:5" x14ac:dyDescent="0.3">
      <c r="A28" t="s">
        <v>18</v>
      </c>
      <c r="B28" s="19">
        <v>132170000000</v>
      </c>
      <c r="C28" s="19">
        <v>100118000000</v>
      </c>
      <c r="D28" s="19">
        <v>73795000000</v>
      </c>
      <c r="E28" s="19">
        <v>59972000000</v>
      </c>
    </row>
    <row r="29" spans="1:5" x14ac:dyDescent="0.3">
      <c r="A29" t="s">
        <v>16</v>
      </c>
      <c r="B29" s="19">
        <v>132170000000</v>
      </c>
      <c r="C29" s="19">
        <v>100118000000</v>
      </c>
      <c r="D29" s="19">
        <v>73795000000</v>
      </c>
      <c r="E29" s="19">
        <v>59972000000</v>
      </c>
    </row>
    <row r="30" spans="1:5" x14ac:dyDescent="0.3">
      <c r="A30" t="s">
        <v>15</v>
      </c>
      <c r="B30" s="19">
        <v>132170000000</v>
      </c>
      <c r="C30" s="19">
        <v>100118000000</v>
      </c>
      <c r="D30" s="19">
        <v>73795000000</v>
      </c>
      <c r="E30" s="19">
        <v>59972000000</v>
      </c>
    </row>
    <row r="31" spans="1:5" x14ac:dyDescent="0.3">
      <c r="A31" t="s">
        <v>14</v>
      </c>
      <c r="B31" s="19">
        <v>10.91</v>
      </c>
      <c r="C31" s="19">
        <v>8.1300000000000008</v>
      </c>
      <c r="D31" s="19">
        <v>5.84</v>
      </c>
      <c r="E31" s="19">
        <v>4.59</v>
      </c>
    </row>
    <row r="32" spans="1:5" x14ac:dyDescent="0.3">
      <c r="A32" t="s">
        <v>13</v>
      </c>
      <c r="B32" s="19">
        <v>10.81</v>
      </c>
      <c r="C32" s="19">
        <v>8.0399999999999991</v>
      </c>
      <c r="D32" s="19">
        <v>5.8</v>
      </c>
      <c r="E32" s="19">
        <v>4.5599999999999996</v>
      </c>
    </row>
    <row r="33" spans="1:5" x14ac:dyDescent="0.3">
      <c r="A33" t="s">
        <v>12</v>
      </c>
      <c r="B33" s="19">
        <v>12116000000</v>
      </c>
      <c r="C33" s="19">
        <v>12319000000</v>
      </c>
      <c r="D33" s="19">
        <v>12630000000</v>
      </c>
      <c r="E33" s="19">
        <v>13063000000</v>
      </c>
    </row>
    <row r="34" spans="1:5" x14ac:dyDescent="0.3">
      <c r="A34" t="s">
        <v>11</v>
      </c>
      <c r="B34" s="19">
        <v>12230000000</v>
      </c>
      <c r="C34" s="19">
        <v>12447000000</v>
      </c>
      <c r="D34" s="19">
        <v>12722000000</v>
      </c>
      <c r="E34" s="19">
        <v>13159000000</v>
      </c>
    </row>
    <row r="35" spans="1:5" x14ac:dyDescent="0.3">
      <c r="A35" t="s">
        <v>34</v>
      </c>
      <c r="B35" s="19">
        <v>129039000000</v>
      </c>
      <c r="C35" s="19">
        <v>112390000000</v>
      </c>
      <c r="D35" s="19">
        <v>84293000000</v>
      </c>
      <c r="E35" s="19">
        <v>74842000000</v>
      </c>
    </row>
    <row r="36" spans="1:5" x14ac:dyDescent="0.3">
      <c r="A36" t="s">
        <v>33</v>
      </c>
      <c r="B36" s="19">
        <v>273797000000</v>
      </c>
      <c r="C36" s="19">
        <v>237628000000</v>
      </c>
      <c r="D36" s="19">
        <v>223101000000</v>
      </c>
      <c r="E36" s="19">
        <v>207994000000</v>
      </c>
    </row>
    <row r="37" spans="1:5" x14ac:dyDescent="0.3">
      <c r="A37" t="s">
        <v>10</v>
      </c>
      <c r="B37" s="19">
        <v>132170000000</v>
      </c>
      <c r="C37" s="19">
        <v>100118000000</v>
      </c>
      <c r="D37" s="19">
        <v>73795000000</v>
      </c>
      <c r="E37" s="19">
        <v>59972000000</v>
      </c>
    </row>
    <row r="38" spans="1:5" x14ac:dyDescent="0.3">
      <c r="A38" t="s">
        <v>9</v>
      </c>
      <c r="B38" s="19">
        <v>112003984000</v>
      </c>
      <c r="C38" s="19">
        <v>98226968000</v>
      </c>
      <c r="D38" s="19">
        <v>75569521000</v>
      </c>
      <c r="E38" s="19">
        <v>65163493000</v>
      </c>
    </row>
    <row r="39" spans="1:5" x14ac:dyDescent="0.3">
      <c r="A39" t="s">
        <v>8</v>
      </c>
      <c r="B39" s="19">
        <v>4337000000</v>
      </c>
      <c r="C39" s="19">
        <v>4482000000</v>
      </c>
      <c r="D39" s="19">
        <v>3865000000</v>
      </c>
      <c r="E39" s="19">
        <v>2174000000</v>
      </c>
    </row>
    <row r="40" spans="1:5" x14ac:dyDescent="0.3">
      <c r="A40" t="s">
        <v>7</v>
      </c>
      <c r="B40" s="19">
        <v>736000000</v>
      </c>
      <c r="C40" s="19">
        <v>268000000</v>
      </c>
      <c r="D40" s="19">
        <v>308000000</v>
      </c>
      <c r="E40" s="19">
        <v>357000000</v>
      </c>
    </row>
    <row r="41" spans="1:5" x14ac:dyDescent="0.3">
      <c r="A41" t="s">
        <v>6</v>
      </c>
      <c r="B41" s="19">
        <v>3601000000</v>
      </c>
      <c r="C41" s="19">
        <v>4214000000</v>
      </c>
      <c r="D41" s="19">
        <v>3557000000</v>
      </c>
      <c r="E41" s="19">
        <v>1817000000</v>
      </c>
    </row>
    <row r="42" spans="1:5" x14ac:dyDescent="0.3">
      <c r="A42" t="s">
        <v>32</v>
      </c>
      <c r="B42" s="19">
        <v>159562000000</v>
      </c>
      <c r="C42" s="19">
        <v>120083000000</v>
      </c>
      <c r="D42" s="19">
        <v>86025000000</v>
      </c>
      <c r="E42" s="19">
        <v>71685000000</v>
      </c>
    </row>
    <row r="43" spans="1:5" x14ac:dyDescent="0.3">
      <c r="A43" t="s">
        <v>31</v>
      </c>
      <c r="B43" s="19">
        <v>180698000000</v>
      </c>
      <c r="C43" s="19">
        <v>135394000000</v>
      </c>
      <c r="D43" s="19">
        <v>97971000000</v>
      </c>
      <c r="E43" s="19">
        <v>85160000000</v>
      </c>
    </row>
    <row r="44" spans="1:5" x14ac:dyDescent="0.3">
      <c r="A44" t="s">
        <v>30</v>
      </c>
      <c r="B44" s="19">
        <v>162535000000</v>
      </c>
      <c r="C44" s="19">
        <v>146306000000</v>
      </c>
      <c r="D44" s="19">
        <v>133332000000</v>
      </c>
      <c r="E44" s="19">
        <v>126203000000</v>
      </c>
    </row>
    <row r="45" spans="1:5" x14ac:dyDescent="0.3">
      <c r="A45" t="s">
        <v>5</v>
      </c>
      <c r="B45" s="19">
        <v>21136000000</v>
      </c>
      <c r="C45" s="19">
        <v>15311000000</v>
      </c>
      <c r="D45" s="19">
        <v>11946000000</v>
      </c>
      <c r="E45" s="19">
        <v>13475000000</v>
      </c>
    </row>
    <row r="46" spans="1:5" x14ac:dyDescent="0.3">
      <c r="A46" t="s">
        <v>4</v>
      </c>
      <c r="B46" s="19">
        <v>132170000000</v>
      </c>
      <c r="C46" s="19">
        <v>100118000000</v>
      </c>
      <c r="D46" s="19">
        <v>73795000000</v>
      </c>
      <c r="E46" s="19">
        <v>59972000000</v>
      </c>
    </row>
    <row r="47" spans="1:5" x14ac:dyDescent="0.3">
      <c r="A47" t="s">
        <v>3</v>
      </c>
      <c r="B47" s="19">
        <v>24238000000</v>
      </c>
      <c r="C47" s="19">
        <v>2262000000</v>
      </c>
      <c r="D47" s="19">
        <v>-2061000000</v>
      </c>
      <c r="E47" s="19">
        <v>-6173000000</v>
      </c>
    </row>
    <row r="48" spans="1:5" x14ac:dyDescent="0.3">
      <c r="A48" t="s">
        <v>2</v>
      </c>
      <c r="B48" s="19">
        <v>24238000000</v>
      </c>
      <c r="C48" s="19">
        <v>2262000000</v>
      </c>
      <c r="D48" s="19">
        <v>-2061000000</v>
      </c>
      <c r="E48" s="19">
        <v>-6173000000</v>
      </c>
    </row>
    <row r="49" spans="1:5" x14ac:dyDescent="0.3">
      <c r="A49" t="s">
        <v>29</v>
      </c>
      <c r="B49" s="19">
        <v>156460000000</v>
      </c>
      <c r="C49" s="19">
        <v>133132000000</v>
      </c>
      <c r="D49" s="19">
        <v>100032000000</v>
      </c>
      <c r="E49" s="19">
        <v>91333000000</v>
      </c>
    </row>
    <row r="50" spans="1:5" x14ac:dyDescent="0.3">
      <c r="A50" t="s">
        <v>1</v>
      </c>
      <c r="B50" s="19">
        <v>0.16800000000000001</v>
      </c>
      <c r="C50" s="19">
        <v>0.16400000000000001</v>
      </c>
      <c r="D50" s="19">
        <v>0.13900000000000001</v>
      </c>
      <c r="E50" s="19">
        <v>0.159</v>
      </c>
    </row>
    <row r="51" spans="1:5" x14ac:dyDescent="0.3">
      <c r="A51" t="s">
        <v>0</v>
      </c>
      <c r="B51" s="19">
        <v>4071984000</v>
      </c>
      <c r="C51" s="19">
        <v>370968000</v>
      </c>
      <c r="D51" s="19">
        <v>-286479000</v>
      </c>
      <c r="E51" s="19">
        <v>-981507000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AB49-C09A-4456-B12B-1D49C0C70C5C}">
  <dimension ref="A1:F79"/>
  <sheetViews>
    <sheetView workbookViewId="0"/>
  </sheetViews>
  <sheetFormatPr defaultRowHeight="14.4" x14ac:dyDescent="0.3"/>
  <cols>
    <col min="1" max="1" width="44.77734375" customWidth="1"/>
    <col min="2" max="8" width="18.77734375" customWidth="1"/>
  </cols>
  <sheetData>
    <row r="1" spans="1:6" x14ac:dyDescent="0.3">
      <c r="A1" s="16" t="s">
        <v>448</v>
      </c>
    </row>
    <row r="3" spans="1:6" x14ac:dyDescent="0.3">
      <c r="A3" t="s">
        <v>28</v>
      </c>
      <c r="B3" s="1" t="s">
        <v>446</v>
      </c>
      <c r="C3" s="1" t="s">
        <v>244</v>
      </c>
      <c r="D3" s="1" t="s">
        <v>245</v>
      </c>
      <c r="E3" s="1" t="s">
        <v>246</v>
      </c>
      <c r="F3" s="1" t="s">
        <v>247</v>
      </c>
    </row>
    <row r="4" spans="1:6" x14ac:dyDescent="0.3">
      <c r="A4" t="s">
        <v>249</v>
      </c>
      <c r="B4" s="19">
        <v>30708000000</v>
      </c>
      <c r="C4" s="19">
        <v>23466000000</v>
      </c>
      <c r="D4" s="19">
        <v>24048000000</v>
      </c>
      <c r="E4" s="19">
        <v>21879000000</v>
      </c>
      <c r="F4" s="19"/>
    </row>
    <row r="5" spans="1:6" x14ac:dyDescent="0.3">
      <c r="A5" t="s">
        <v>250</v>
      </c>
      <c r="B5" s="19">
        <v>96135000000</v>
      </c>
      <c r="C5" s="19">
        <v>72191000000</v>
      </c>
      <c r="D5" s="19">
        <v>86868000000</v>
      </c>
      <c r="E5" s="19">
        <v>91883000000</v>
      </c>
      <c r="F5" s="19"/>
    </row>
    <row r="6" spans="1:6" x14ac:dyDescent="0.3">
      <c r="A6" t="s">
        <v>251</v>
      </c>
      <c r="B6" s="19">
        <v>126843000000</v>
      </c>
      <c r="C6" s="19">
        <v>95657000000</v>
      </c>
      <c r="D6" s="19">
        <v>110916000000</v>
      </c>
      <c r="E6" s="19">
        <v>113762000000</v>
      </c>
      <c r="F6" s="19"/>
    </row>
    <row r="7" spans="1:6" x14ac:dyDescent="0.3">
      <c r="A7" t="s">
        <v>252</v>
      </c>
      <c r="B7" s="19">
        <v>63810000000</v>
      </c>
      <c r="C7" s="19">
        <v>53219000000</v>
      </c>
      <c r="D7" s="19">
        <v>48735000000</v>
      </c>
      <c r="E7" s="19">
        <v>41012000000</v>
      </c>
      <c r="F7" s="19"/>
    </row>
    <row r="8" spans="1:6" x14ac:dyDescent="0.3">
      <c r="A8" t="s">
        <v>253</v>
      </c>
      <c r="B8" s="19">
        <v>-924000000</v>
      </c>
      <c r="C8" s="19">
        <v>-879000000</v>
      </c>
      <c r="D8" s="19">
        <v>-771000000</v>
      </c>
      <c r="E8" s="19">
        <v>-754000000</v>
      </c>
      <c r="F8" s="19"/>
    </row>
    <row r="9" spans="1:6" x14ac:dyDescent="0.3">
      <c r="A9" t="s">
        <v>254</v>
      </c>
      <c r="B9" s="19">
        <v>62886000000</v>
      </c>
      <c r="C9" s="19">
        <v>52340000000</v>
      </c>
      <c r="D9" s="19">
        <v>47964000000</v>
      </c>
      <c r="E9" s="19">
        <v>40258000000</v>
      </c>
      <c r="F9" s="19"/>
    </row>
    <row r="10" spans="1:6" x14ac:dyDescent="0.3">
      <c r="A10" t="s">
        <v>255</v>
      </c>
      <c r="B10" s="19"/>
      <c r="C10" s="19"/>
      <c r="D10" s="19"/>
      <c r="E10" s="19"/>
      <c r="F10" s="19">
        <v>966000000</v>
      </c>
    </row>
    <row r="11" spans="1:6" x14ac:dyDescent="0.3">
      <c r="A11" t="s">
        <v>256</v>
      </c>
      <c r="B11" s="19">
        <v>62886000000</v>
      </c>
      <c r="C11" s="19">
        <v>52340000000</v>
      </c>
      <c r="D11" s="19">
        <v>47964000000</v>
      </c>
      <c r="E11" s="19">
        <v>40258000000</v>
      </c>
      <c r="F11" s="19"/>
    </row>
    <row r="12" spans="1:6" x14ac:dyDescent="0.3">
      <c r="A12" t="s">
        <v>257</v>
      </c>
      <c r="B12" s="19"/>
      <c r="C12" s="19"/>
      <c r="D12" s="19"/>
      <c r="E12" s="19">
        <v>2670000000</v>
      </c>
      <c r="F12" s="19">
        <v>1170000000</v>
      </c>
    </row>
    <row r="13" spans="1:6" x14ac:dyDescent="0.3">
      <c r="A13" t="s">
        <v>258</v>
      </c>
      <c r="B13" s="19">
        <v>16309000000</v>
      </c>
      <c r="C13" s="19">
        <v>15714000000</v>
      </c>
      <c r="D13" s="19">
        <v>12650000000</v>
      </c>
      <c r="E13" s="19">
        <v>10775000000</v>
      </c>
      <c r="F13" s="19"/>
    </row>
    <row r="14" spans="1:6" x14ac:dyDescent="0.3">
      <c r="A14" t="s">
        <v>259</v>
      </c>
      <c r="B14" s="19">
        <v>206038000000</v>
      </c>
      <c r="C14" s="19">
        <v>163711000000</v>
      </c>
      <c r="D14" s="19">
        <v>171530000000</v>
      </c>
      <c r="E14" s="19">
        <v>164795000000</v>
      </c>
      <c r="F14" s="19"/>
    </row>
    <row r="15" spans="1:6" x14ac:dyDescent="0.3">
      <c r="A15" t="s">
        <v>260</v>
      </c>
      <c r="B15" s="19">
        <v>0</v>
      </c>
      <c r="C15" s="19">
        <v>0</v>
      </c>
      <c r="D15" s="19">
        <v>0</v>
      </c>
      <c r="E15" s="19">
        <v>0</v>
      </c>
      <c r="F15" s="19"/>
    </row>
    <row r="16" spans="1:6" x14ac:dyDescent="0.3">
      <c r="A16" t="s">
        <v>261</v>
      </c>
      <c r="B16" s="19"/>
      <c r="C16" s="19"/>
      <c r="D16" s="19">
        <v>74083000000</v>
      </c>
      <c r="E16" s="19">
        <v>66897000000</v>
      </c>
      <c r="F16" s="19">
        <v>58881000000</v>
      </c>
    </row>
    <row r="17" spans="1:6" x14ac:dyDescent="0.3">
      <c r="A17" t="s">
        <v>262</v>
      </c>
      <c r="B17" s="19">
        <v>48348000000</v>
      </c>
      <c r="C17" s="19">
        <v>45403000000</v>
      </c>
      <c r="D17" s="19">
        <v>40435000000</v>
      </c>
      <c r="E17" s="19"/>
      <c r="F17" s="19"/>
    </row>
    <row r="18" spans="1:6" x14ac:dyDescent="0.3">
      <c r="A18" t="s">
        <v>263</v>
      </c>
      <c r="B18" s="19"/>
      <c r="C18" s="19"/>
      <c r="D18" s="19">
        <v>472000000</v>
      </c>
      <c r="E18" s="19">
        <v>314000000</v>
      </c>
      <c r="F18" s="19">
        <v>208000000</v>
      </c>
    </row>
    <row r="19" spans="1:6" x14ac:dyDescent="0.3">
      <c r="A19" t="s">
        <v>264</v>
      </c>
      <c r="B19" s="19">
        <v>311955000000</v>
      </c>
      <c r="C19" s="19">
        <v>218611000000</v>
      </c>
      <c r="D19" s="19">
        <v>175459000000</v>
      </c>
      <c r="E19" s="19">
        <v>80648000000</v>
      </c>
      <c r="F19" s="19"/>
    </row>
    <row r="20" spans="1:6" x14ac:dyDescent="0.3">
      <c r="A20" t="s">
        <v>265</v>
      </c>
      <c r="B20" s="19"/>
      <c r="C20" s="19"/>
      <c r="D20" s="19">
        <v>35229000000</v>
      </c>
      <c r="E20" s="19">
        <v>27657000000</v>
      </c>
      <c r="F20" s="19">
        <v>23172000000</v>
      </c>
    </row>
    <row r="21" spans="1:6" x14ac:dyDescent="0.3">
      <c r="A21" t="s">
        <v>266</v>
      </c>
      <c r="B21" s="19"/>
      <c r="C21" s="19"/>
      <c r="D21" s="19">
        <v>11425000000</v>
      </c>
      <c r="E21" s="19">
        <v>10575000000</v>
      </c>
      <c r="F21" s="19">
        <v>9146000000</v>
      </c>
    </row>
    <row r="22" spans="1:6" x14ac:dyDescent="0.3">
      <c r="A22" t="s">
        <v>267</v>
      </c>
      <c r="B22" s="19">
        <v>360303000000</v>
      </c>
      <c r="C22" s="19">
        <v>264014000000</v>
      </c>
      <c r="D22" s="19">
        <v>215894000000</v>
      </c>
      <c r="E22" s="19">
        <v>186091000000</v>
      </c>
      <c r="F22" s="19"/>
    </row>
    <row r="23" spans="1:6" x14ac:dyDescent="0.3">
      <c r="A23" t="s">
        <v>268</v>
      </c>
      <c r="B23" s="19">
        <v>-98485000000</v>
      </c>
      <c r="C23" s="19">
        <v>-79390000000</v>
      </c>
      <c r="D23" s="19">
        <v>-67458000000</v>
      </c>
      <c r="E23" s="19">
        <v>-59042000000</v>
      </c>
      <c r="F23" s="19"/>
    </row>
    <row r="24" spans="1:6" x14ac:dyDescent="0.3">
      <c r="A24" t="s">
        <v>269</v>
      </c>
      <c r="B24" s="19">
        <v>261818000000</v>
      </c>
      <c r="C24" s="19">
        <v>184624000000</v>
      </c>
      <c r="D24" s="19">
        <v>148436000000</v>
      </c>
      <c r="E24" s="19">
        <v>127049000000</v>
      </c>
      <c r="F24" s="19"/>
    </row>
    <row r="25" spans="1:6" x14ac:dyDescent="0.3">
      <c r="A25" t="s">
        <v>270</v>
      </c>
      <c r="B25" s="19">
        <v>33380000000</v>
      </c>
      <c r="C25" s="19">
        <v>31885000000</v>
      </c>
      <c r="D25" s="19">
        <v>29198000000</v>
      </c>
      <c r="E25" s="19">
        <v>28960000000</v>
      </c>
      <c r="F25" s="19"/>
    </row>
    <row r="26" spans="1:6" x14ac:dyDescent="0.3">
      <c r="A26" t="s">
        <v>271</v>
      </c>
      <c r="B26" s="19"/>
      <c r="C26" s="19"/>
      <c r="D26" s="19"/>
      <c r="E26" s="19">
        <v>2084000000</v>
      </c>
      <c r="F26" s="19">
        <v>1417000000</v>
      </c>
    </row>
    <row r="27" spans="1:6" x14ac:dyDescent="0.3">
      <c r="A27" t="s">
        <v>272</v>
      </c>
      <c r="B27" s="19">
        <v>33380000000</v>
      </c>
      <c r="C27" s="19">
        <v>31885000000</v>
      </c>
      <c r="D27" s="19">
        <v>29198000000</v>
      </c>
      <c r="E27" s="19">
        <v>28960000000</v>
      </c>
      <c r="F27" s="19"/>
    </row>
    <row r="28" spans="1:6" x14ac:dyDescent="0.3">
      <c r="A28" t="s">
        <v>273</v>
      </c>
      <c r="B28" s="19">
        <v>68687000000</v>
      </c>
      <c r="C28" s="19">
        <v>37982000000</v>
      </c>
      <c r="D28" s="19">
        <v>31008000000</v>
      </c>
      <c r="E28" s="19">
        <v>30492000000</v>
      </c>
      <c r="F28" s="19"/>
    </row>
    <row r="29" spans="1:6" x14ac:dyDescent="0.3">
      <c r="A29" t="s">
        <v>274</v>
      </c>
      <c r="B29" s="19">
        <v>68687000000</v>
      </c>
      <c r="C29" s="19">
        <v>37982000000</v>
      </c>
      <c r="D29" s="19">
        <v>31008000000</v>
      </c>
      <c r="E29" s="19">
        <v>30492000000</v>
      </c>
      <c r="F29" s="19"/>
    </row>
    <row r="30" spans="1:6" x14ac:dyDescent="0.3">
      <c r="A30" t="s">
        <v>275</v>
      </c>
      <c r="B30" s="19">
        <v>68687000000</v>
      </c>
      <c r="C30" s="19">
        <v>37982000000</v>
      </c>
      <c r="D30" s="19">
        <v>31008000000</v>
      </c>
      <c r="E30" s="19">
        <v>30492000000</v>
      </c>
      <c r="F30" s="19"/>
    </row>
    <row r="31" spans="1:6" x14ac:dyDescent="0.3">
      <c r="A31" t="s">
        <v>276</v>
      </c>
      <c r="B31" s="19">
        <v>9113000000</v>
      </c>
      <c r="C31" s="19">
        <v>17180000000</v>
      </c>
      <c r="D31" s="19">
        <v>12169000000</v>
      </c>
      <c r="E31" s="19">
        <v>5261000000</v>
      </c>
      <c r="F31" s="19"/>
    </row>
    <row r="32" spans="1:6" x14ac:dyDescent="0.3">
      <c r="A32" t="s">
        <v>277</v>
      </c>
      <c r="B32" s="19">
        <v>9113000000</v>
      </c>
      <c r="C32" s="19">
        <v>17180000000</v>
      </c>
      <c r="D32" s="19">
        <v>12169000000</v>
      </c>
      <c r="E32" s="19">
        <v>5261000000</v>
      </c>
      <c r="F32" s="19"/>
    </row>
    <row r="33" spans="1:6" x14ac:dyDescent="0.3">
      <c r="A33" t="s">
        <v>278</v>
      </c>
      <c r="B33" s="19">
        <v>16245000000</v>
      </c>
      <c r="C33" s="19">
        <v>14874000000</v>
      </c>
      <c r="D33" s="19">
        <v>10051000000</v>
      </c>
      <c r="E33" s="19">
        <v>8707000000</v>
      </c>
      <c r="F33" s="19"/>
    </row>
    <row r="34" spans="1:6" x14ac:dyDescent="0.3">
      <c r="A34" t="s">
        <v>279</v>
      </c>
      <c r="B34" s="19">
        <v>389243000000</v>
      </c>
      <c r="C34" s="19">
        <v>286545000000</v>
      </c>
      <c r="D34" s="19">
        <v>230862000000</v>
      </c>
      <c r="E34" s="19">
        <v>200469000000</v>
      </c>
      <c r="F34" s="19"/>
    </row>
    <row r="35" spans="1:6" x14ac:dyDescent="0.3">
      <c r="A35" t="s">
        <v>280</v>
      </c>
      <c r="B35" s="19">
        <v>595281000000</v>
      </c>
      <c r="C35" s="19">
        <v>450256000000</v>
      </c>
      <c r="D35" s="19">
        <v>402392000000</v>
      </c>
      <c r="E35" s="19">
        <v>365264000000</v>
      </c>
      <c r="F35" s="19"/>
    </row>
    <row r="36" spans="1:6" x14ac:dyDescent="0.3">
      <c r="A36" t="s">
        <v>281</v>
      </c>
      <c r="B36" s="19">
        <v>12200000000</v>
      </c>
      <c r="C36" s="19">
        <v>7987000000</v>
      </c>
      <c r="D36" s="19">
        <v>7493000000</v>
      </c>
      <c r="E36" s="19">
        <v>5128000000</v>
      </c>
      <c r="F36" s="19"/>
    </row>
    <row r="37" spans="1:6" x14ac:dyDescent="0.3">
      <c r="A37" t="s">
        <v>282</v>
      </c>
      <c r="B37" s="19">
        <v>523000000</v>
      </c>
      <c r="C37" s="19">
        <v>2905000000</v>
      </c>
      <c r="D37" s="19">
        <v>2748000000</v>
      </c>
      <c r="E37" s="19">
        <v>1632000000</v>
      </c>
      <c r="F37" s="19"/>
    </row>
    <row r="38" spans="1:6" x14ac:dyDescent="0.3">
      <c r="A38" t="s">
        <v>283</v>
      </c>
      <c r="B38" s="19">
        <v>523000000</v>
      </c>
      <c r="C38" s="19">
        <v>2905000000</v>
      </c>
      <c r="D38" s="19">
        <v>2748000000</v>
      </c>
      <c r="E38" s="19">
        <v>1632000000</v>
      </c>
      <c r="F38" s="19"/>
    </row>
    <row r="39" spans="1:6" x14ac:dyDescent="0.3">
      <c r="A39" t="s">
        <v>284</v>
      </c>
      <c r="B39" s="19">
        <v>950000000</v>
      </c>
      <c r="C39" s="19">
        <v>3866000000</v>
      </c>
      <c r="D39" s="19"/>
      <c r="E39" s="19"/>
      <c r="F39" s="19">
        <v>397000000</v>
      </c>
    </row>
    <row r="40" spans="1:6" x14ac:dyDescent="0.3">
      <c r="A40" t="s">
        <v>285</v>
      </c>
      <c r="B40" s="19">
        <v>13673000000</v>
      </c>
      <c r="C40" s="19">
        <v>14758000000</v>
      </c>
      <c r="D40" s="19">
        <v>10241000000</v>
      </c>
      <c r="E40" s="19">
        <v>6760000000</v>
      </c>
      <c r="F40" s="19"/>
    </row>
    <row r="41" spans="1:6" x14ac:dyDescent="0.3">
      <c r="A41" t="s">
        <v>286</v>
      </c>
      <c r="B41" s="19">
        <v>64948000000</v>
      </c>
      <c r="C41" s="19">
        <v>54259000000</v>
      </c>
      <c r="D41" s="19">
        <v>39980000000</v>
      </c>
      <c r="E41" s="19">
        <v>33021000000</v>
      </c>
      <c r="F41" s="19"/>
    </row>
    <row r="42" spans="1:6" x14ac:dyDescent="0.3">
      <c r="A42" t="s">
        <v>287</v>
      </c>
      <c r="B42" s="19">
        <v>78621000000</v>
      </c>
      <c r="C42" s="19">
        <v>69017000000</v>
      </c>
      <c r="D42" s="19">
        <v>50221000000</v>
      </c>
      <c r="E42" s="19">
        <v>39781000000</v>
      </c>
      <c r="F42" s="19"/>
    </row>
    <row r="43" spans="1:6" x14ac:dyDescent="0.3">
      <c r="A43" t="s">
        <v>288</v>
      </c>
      <c r="B43" s="19">
        <v>17546000000</v>
      </c>
      <c r="C43" s="19">
        <v>15069000000</v>
      </c>
      <c r="D43" s="19">
        <v>15140000000</v>
      </c>
      <c r="E43" s="19">
        <v>14028000000</v>
      </c>
      <c r="F43" s="19"/>
    </row>
    <row r="44" spans="1:6" x14ac:dyDescent="0.3">
      <c r="A44" t="s">
        <v>289</v>
      </c>
      <c r="B44" s="19"/>
      <c r="C44" s="19">
        <v>2887000000</v>
      </c>
      <c r="D44" s="19">
        <v>2791000000</v>
      </c>
      <c r="E44" s="19">
        <v>2477000000</v>
      </c>
      <c r="F44" s="19">
        <v>2189000000</v>
      </c>
    </row>
    <row r="45" spans="1:6" x14ac:dyDescent="0.3">
      <c r="A45" t="s">
        <v>290</v>
      </c>
      <c r="B45" s="19"/>
      <c r="C45" s="19">
        <v>2887000000</v>
      </c>
      <c r="D45" s="19">
        <v>2791000000</v>
      </c>
      <c r="E45" s="19">
        <v>2477000000</v>
      </c>
      <c r="F45" s="19">
        <v>2189000000</v>
      </c>
    </row>
    <row r="46" spans="1:6" x14ac:dyDescent="0.3">
      <c r="A46" t="s">
        <v>291</v>
      </c>
      <c r="B46" s="19">
        <v>6578000000</v>
      </c>
      <c r="C46" s="19">
        <v>5036000000</v>
      </c>
      <c r="D46" s="19">
        <v>4137000000</v>
      </c>
      <c r="E46" s="19">
        <v>3908000000</v>
      </c>
      <c r="F46" s="19"/>
    </row>
    <row r="47" spans="1:6" x14ac:dyDescent="0.3">
      <c r="A47" t="s">
        <v>292</v>
      </c>
      <c r="B47" s="19">
        <v>6578000000</v>
      </c>
      <c r="C47" s="19">
        <v>5036000000</v>
      </c>
      <c r="D47" s="19">
        <v>4137000000</v>
      </c>
      <c r="E47" s="19">
        <v>3908000000</v>
      </c>
      <c r="F47" s="19"/>
    </row>
    <row r="48" spans="1:6" x14ac:dyDescent="0.3">
      <c r="A48" t="s">
        <v>293</v>
      </c>
      <c r="B48" s="19"/>
      <c r="C48" s="19">
        <v>6322000000</v>
      </c>
      <c r="D48" s="19">
        <v>9525000000</v>
      </c>
      <c r="E48" s="19">
        <v>9106000000</v>
      </c>
      <c r="F48" s="19">
        <v>9799000000</v>
      </c>
    </row>
    <row r="49" spans="1:6" x14ac:dyDescent="0.3">
      <c r="A49" t="s">
        <v>294</v>
      </c>
      <c r="B49" s="19">
        <v>102745000000</v>
      </c>
      <c r="C49" s="19">
        <v>89122000000</v>
      </c>
      <c r="D49" s="19">
        <v>81814000000</v>
      </c>
      <c r="E49" s="19">
        <v>69300000000</v>
      </c>
      <c r="F49" s="19"/>
    </row>
    <row r="50" spans="1:6" x14ac:dyDescent="0.3">
      <c r="A50" t="s">
        <v>295</v>
      </c>
      <c r="B50" s="19">
        <v>46547000000</v>
      </c>
      <c r="C50" s="19">
        <v>10883000000</v>
      </c>
      <c r="D50" s="19">
        <v>11870000000</v>
      </c>
      <c r="E50" s="19">
        <v>12857000000</v>
      </c>
      <c r="F50" s="19"/>
    </row>
    <row r="51" spans="1:6" x14ac:dyDescent="0.3">
      <c r="A51" t="s">
        <v>296</v>
      </c>
      <c r="B51" s="19">
        <v>12744000000</v>
      </c>
      <c r="C51" s="19">
        <v>11691000000</v>
      </c>
      <c r="D51" s="19">
        <v>12460000000</v>
      </c>
      <c r="E51" s="19">
        <v>14345000000</v>
      </c>
      <c r="F51" s="19"/>
    </row>
    <row r="52" spans="1:6" x14ac:dyDescent="0.3">
      <c r="A52" t="s">
        <v>297</v>
      </c>
      <c r="B52" s="19">
        <v>59291000000</v>
      </c>
      <c r="C52" s="19">
        <v>22574000000</v>
      </c>
      <c r="D52" s="19">
        <v>24330000000</v>
      </c>
      <c r="E52" s="19">
        <v>27202000000</v>
      </c>
      <c r="F52" s="19"/>
    </row>
    <row r="53" spans="1:6" x14ac:dyDescent="0.3">
      <c r="A53" t="s">
        <v>298</v>
      </c>
      <c r="B53" s="19"/>
      <c r="C53" s="19"/>
      <c r="D53" s="19">
        <v>485000000</v>
      </c>
      <c r="E53" s="19">
        <v>514000000</v>
      </c>
      <c r="F53" s="19">
        <v>5257000000</v>
      </c>
    </row>
    <row r="54" spans="1:6" x14ac:dyDescent="0.3">
      <c r="A54" t="s">
        <v>299</v>
      </c>
      <c r="B54" s="19"/>
      <c r="C54" s="19"/>
      <c r="D54" s="19">
        <v>911000000</v>
      </c>
      <c r="E54" s="19">
        <v>599000000</v>
      </c>
      <c r="F54" s="19">
        <v>535000000</v>
      </c>
    </row>
    <row r="55" spans="1:6" x14ac:dyDescent="0.3">
      <c r="A55" t="s">
        <v>300</v>
      </c>
      <c r="B55" s="19"/>
      <c r="C55" s="19"/>
      <c r="D55" s="19">
        <v>1396000000</v>
      </c>
      <c r="E55" s="19">
        <v>1113000000</v>
      </c>
      <c r="F55" s="19">
        <v>5792000000</v>
      </c>
    </row>
    <row r="56" spans="1:6" x14ac:dyDescent="0.3">
      <c r="A56" t="s">
        <v>301</v>
      </c>
      <c r="B56" s="19">
        <v>9531000000</v>
      </c>
      <c r="C56" s="19">
        <v>8782000000</v>
      </c>
      <c r="D56" s="19">
        <v>8474000000</v>
      </c>
      <c r="E56" s="19">
        <v>9258000000</v>
      </c>
      <c r="F56" s="19"/>
    </row>
    <row r="57" spans="1:6" x14ac:dyDescent="0.3">
      <c r="A57" t="s">
        <v>302</v>
      </c>
      <c r="B57" s="19">
        <v>8449000000</v>
      </c>
      <c r="C57" s="19">
        <v>4694000000</v>
      </c>
      <c r="D57" s="19">
        <v>4395000000</v>
      </c>
      <c r="E57" s="19">
        <v>2247000000</v>
      </c>
      <c r="F57" s="19"/>
    </row>
    <row r="58" spans="1:6" x14ac:dyDescent="0.3">
      <c r="A58" t="s">
        <v>303</v>
      </c>
      <c r="B58" s="19">
        <v>77271000000</v>
      </c>
      <c r="C58" s="19">
        <v>36050000000</v>
      </c>
      <c r="D58" s="19">
        <v>37199000000</v>
      </c>
      <c r="E58" s="19">
        <v>39820000000</v>
      </c>
      <c r="F58" s="19"/>
    </row>
    <row r="59" spans="1:6" x14ac:dyDescent="0.3">
      <c r="A59" t="s">
        <v>304</v>
      </c>
      <c r="B59" s="19">
        <v>180016000000</v>
      </c>
      <c r="C59" s="19">
        <v>125172000000</v>
      </c>
      <c r="D59" s="19">
        <v>119013000000</v>
      </c>
      <c r="E59" s="19">
        <v>109120000000</v>
      </c>
      <c r="F59" s="19"/>
    </row>
    <row r="60" spans="1:6" x14ac:dyDescent="0.3">
      <c r="A60" t="s">
        <v>305</v>
      </c>
      <c r="B60" s="19">
        <v>0</v>
      </c>
      <c r="C60" s="19">
        <v>0</v>
      </c>
      <c r="D60" s="19">
        <v>0</v>
      </c>
      <c r="E60" s="19">
        <v>0</v>
      </c>
      <c r="F60" s="19"/>
    </row>
    <row r="61" spans="1:6" x14ac:dyDescent="0.3">
      <c r="A61" t="s">
        <v>306</v>
      </c>
      <c r="B61" s="19">
        <v>93126000000</v>
      </c>
      <c r="C61" s="19">
        <v>84800000000</v>
      </c>
      <c r="D61" s="19">
        <v>76534000000</v>
      </c>
      <c r="E61" s="19">
        <v>68184000000</v>
      </c>
      <c r="F61" s="19"/>
    </row>
    <row r="62" spans="1:6" x14ac:dyDescent="0.3">
      <c r="A62" t="s">
        <v>307</v>
      </c>
      <c r="B62" s="19">
        <v>93126000000</v>
      </c>
      <c r="C62" s="19">
        <v>84800000000</v>
      </c>
      <c r="D62" s="19">
        <v>76534000000</v>
      </c>
      <c r="E62" s="19">
        <v>68184000000</v>
      </c>
      <c r="F62" s="19"/>
    </row>
    <row r="63" spans="1:6" x14ac:dyDescent="0.3">
      <c r="A63" t="s">
        <v>308</v>
      </c>
      <c r="B63" s="19">
        <v>324055000000</v>
      </c>
      <c r="C63" s="19">
        <v>245084000000</v>
      </c>
      <c r="D63" s="19">
        <v>211247000000</v>
      </c>
      <c r="E63" s="19">
        <v>195563000000</v>
      </c>
      <c r="F63" s="19"/>
    </row>
    <row r="64" spans="1:6" x14ac:dyDescent="0.3">
      <c r="A64" t="s">
        <v>309</v>
      </c>
      <c r="B64" s="19">
        <v>-1916000000</v>
      </c>
      <c r="C64" s="19">
        <v>-4800000000</v>
      </c>
      <c r="D64" s="19">
        <v>-4402000000</v>
      </c>
      <c r="E64" s="19">
        <v>-7603000000</v>
      </c>
      <c r="F64" s="19"/>
    </row>
    <row r="65" spans="1:6" x14ac:dyDescent="0.3">
      <c r="A65" t="s">
        <v>310</v>
      </c>
      <c r="B65" s="19">
        <v>-1916000000</v>
      </c>
      <c r="C65" s="19">
        <v>-4800000000</v>
      </c>
      <c r="D65" s="19">
        <v>-4402000000</v>
      </c>
      <c r="E65" s="19">
        <v>-7603000000</v>
      </c>
      <c r="F65" s="19"/>
    </row>
    <row r="66" spans="1:6" x14ac:dyDescent="0.3">
      <c r="A66" t="s">
        <v>55</v>
      </c>
      <c r="B66" s="19">
        <v>415265000000</v>
      </c>
      <c r="C66" s="19">
        <v>325084000000</v>
      </c>
      <c r="D66" s="19">
        <v>283379000000</v>
      </c>
      <c r="E66" s="19">
        <v>256144000000</v>
      </c>
      <c r="F66" s="19"/>
    </row>
    <row r="67" spans="1:6" x14ac:dyDescent="0.3">
      <c r="A67" t="s">
        <v>54</v>
      </c>
      <c r="B67" s="19">
        <v>415265000000</v>
      </c>
      <c r="C67" s="19">
        <v>325084000000</v>
      </c>
      <c r="D67" s="19">
        <v>283379000000</v>
      </c>
      <c r="E67" s="19">
        <v>256144000000</v>
      </c>
      <c r="F67" s="19"/>
    </row>
    <row r="68" spans="1:6" x14ac:dyDescent="0.3">
      <c r="A68" t="s">
        <v>53</v>
      </c>
      <c r="B68" s="19">
        <v>461812000000</v>
      </c>
      <c r="C68" s="19">
        <v>335967000000</v>
      </c>
      <c r="D68" s="19">
        <v>295249000000</v>
      </c>
      <c r="E68" s="19">
        <v>269001000000</v>
      </c>
      <c r="F68" s="19"/>
    </row>
    <row r="69" spans="1:6" x14ac:dyDescent="0.3">
      <c r="A69" t="s">
        <v>52</v>
      </c>
      <c r="B69" s="19">
        <v>415265000000</v>
      </c>
      <c r="C69" s="19">
        <v>325084000000</v>
      </c>
      <c r="D69" s="19">
        <v>283379000000</v>
      </c>
      <c r="E69" s="19">
        <v>256144000000</v>
      </c>
      <c r="F69" s="19"/>
    </row>
    <row r="70" spans="1:6" x14ac:dyDescent="0.3">
      <c r="A70" t="s">
        <v>51</v>
      </c>
      <c r="B70" s="19">
        <v>12744000000</v>
      </c>
      <c r="C70" s="19">
        <v>11691000000</v>
      </c>
      <c r="D70" s="19">
        <v>15251000000</v>
      </c>
      <c r="E70" s="19">
        <v>16822000000</v>
      </c>
      <c r="F70" s="19"/>
    </row>
    <row r="71" spans="1:6" x14ac:dyDescent="0.3">
      <c r="A71" t="s">
        <v>50</v>
      </c>
      <c r="B71" s="19">
        <v>381885000000</v>
      </c>
      <c r="C71" s="19">
        <v>293199000000</v>
      </c>
      <c r="D71" s="19">
        <v>254181000000</v>
      </c>
      <c r="E71" s="19">
        <v>227184000000</v>
      </c>
      <c r="F71" s="19"/>
    </row>
    <row r="72" spans="1:6" x14ac:dyDescent="0.3">
      <c r="A72" t="s">
        <v>49</v>
      </c>
      <c r="B72" s="19">
        <v>103293000000</v>
      </c>
      <c r="C72" s="19">
        <v>74589000000</v>
      </c>
      <c r="D72" s="19">
        <v>89716000000</v>
      </c>
      <c r="E72" s="19">
        <v>95495000000</v>
      </c>
      <c r="F72" s="19"/>
    </row>
    <row r="73" spans="1:6" x14ac:dyDescent="0.3">
      <c r="A73" t="s">
        <v>48</v>
      </c>
      <c r="B73" s="19">
        <v>461812000000</v>
      </c>
      <c r="C73" s="19">
        <v>335967000000</v>
      </c>
      <c r="D73" s="19">
        <v>295249000000</v>
      </c>
      <c r="E73" s="19">
        <v>269001000000</v>
      </c>
      <c r="F73" s="19"/>
    </row>
    <row r="74" spans="1:6" x14ac:dyDescent="0.3">
      <c r="A74" t="s">
        <v>47</v>
      </c>
      <c r="B74" s="19">
        <v>381885000000</v>
      </c>
      <c r="C74" s="19">
        <v>293199000000</v>
      </c>
      <c r="D74" s="19">
        <v>254181000000</v>
      </c>
      <c r="E74" s="19">
        <v>227184000000</v>
      </c>
      <c r="F74" s="19"/>
    </row>
    <row r="75" spans="1:6" x14ac:dyDescent="0.3">
      <c r="A75" t="s">
        <v>46</v>
      </c>
      <c r="B75" s="19">
        <v>59291000000</v>
      </c>
      <c r="C75" s="19">
        <v>22574000000</v>
      </c>
      <c r="D75" s="19">
        <v>27121000000</v>
      </c>
      <c r="E75" s="19">
        <v>29679000000</v>
      </c>
      <c r="F75" s="19"/>
    </row>
    <row r="76" spans="1:6" x14ac:dyDescent="0.3">
      <c r="A76" t="s">
        <v>449</v>
      </c>
      <c r="B76" s="19">
        <v>15839000000</v>
      </c>
      <c r="C76" s="19"/>
      <c r="D76" s="19"/>
      <c r="E76" s="19"/>
      <c r="F76" s="19"/>
    </row>
    <row r="77" spans="1:6" x14ac:dyDescent="0.3">
      <c r="A77" t="s">
        <v>45</v>
      </c>
      <c r="B77" s="19">
        <v>12088000000</v>
      </c>
      <c r="C77" s="19">
        <v>12211000000</v>
      </c>
      <c r="D77" s="19">
        <v>12460000000</v>
      </c>
      <c r="E77" s="19">
        <v>12849000000</v>
      </c>
      <c r="F77" s="19"/>
    </row>
    <row r="78" spans="1:6" x14ac:dyDescent="0.3">
      <c r="A78" t="s">
        <v>44</v>
      </c>
      <c r="B78" s="19">
        <v>12088000000</v>
      </c>
      <c r="C78" s="19">
        <v>12211000000</v>
      </c>
      <c r="D78" s="19">
        <v>12460000000</v>
      </c>
      <c r="E78" s="19">
        <v>12849000000</v>
      </c>
      <c r="F78" s="19"/>
    </row>
    <row r="79" spans="1:6" x14ac:dyDescent="0.3">
      <c r="A79" t="s">
        <v>43</v>
      </c>
      <c r="B79" s="19"/>
      <c r="C79" s="19"/>
      <c r="D79" s="19">
        <v>0</v>
      </c>
      <c r="E79" s="19"/>
      <c r="F79" s="1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3114-BDEE-40A7-AC4A-411F56C9FE46}">
  <dimension ref="A1:F58"/>
  <sheetViews>
    <sheetView workbookViewId="0"/>
  </sheetViews>
  <sheetFormatPr defaultRowHeight="14.4" x14ac:dyDescent="0.3"/>
  <cols>
    <col min="1" max="1" width="44.77734375" customWidth="1"/>
    <col min="2" max="8" width="18.77734375" customWidth="1"/>
  </cols>
  <sheetData>
    <row r="1" spans="1:6" x14ac:dyDescent="0.3">
      <c r="A1" s="16" t="s">
        <v>450</v>
      </c>
    </row>
    <row r="3" spans="1:6" x14ac:dyDescent="0.3">
      <c r="A3" t="s">
        <v>28</v>
      </c>
      <c r="B3" s="1" t="s">
        <v>446</v>
      </c>
      <c r="C3" s="1" t="s">
        <v>244</v>
      </c>
      <c r="D3" s="1" t="s">
        <v>245</v>
      </c>
      <c r="E3" s="1" t="s">
        <v>246</v>
      </c>
      <c r="F3" s="1" t="s">
        <v>247</v>
      </c>
    </row>
    <row r="4" spans="1:6" x14ac:dyDescent="0.3">
      <c r="A4" t="s">
        <v>311</v>
      </c>
      <c r="B4" s="19">
        <v>132170000000</v>
      </c>
      <c r="C4" s="19">
        <v>100118000000</v>
      </c>
      <c r="D4" s="19">
        <v>73795000000</v>
      </c>
      <c r="E4" s="19">
        <v>59972000000</v>
      </c>
      <c r="F4" s="19"/>
    </row>
    <row r="5" spans="1:6" x14ac:dyDescent="0.3">
      <c r="A5" t="s">
        <v>312</v>
      </c>
      <c r="B5" s="19">
        <v>-24620000000</v>
      </c>
      <c r="C5" s="19">
        <v>-2671000000</v>
      </c>
      <c r="D5" s="19">
        <v>823000000</v>
      </c>
      <c r="E5" s="19">
        <v>5519000000</v>
      </c>
      <c r="F5" s="19"/>
    </row>
    <row r="6" spans="1:6" x14ac:dyDescent="0.3">
      <c r="A6" t="s">
        <v>313</v>
      </c>
      <c r="B6" s="19">
        <v>-24620000000</v>
      </c>
      <c r="C6" s="19">
        <v>-2671000000</v>
      </c>
      <c r="D6" s="19">
        <v>823000000</v>
      </c>
      <c r="E6" s="19">
        <v>5519000000</v>
      </c>
      <c r="F6" s="19"/>
    </row>
    <row r="7" spans="1:6" x14ac:dyDescent="0.3">
      <c r="A7" t="s">
        <v>314</v>
      </c>
      <c r="B7" s="19">
        <v>21136000000</v>
      </c>
      <c r="C7" s="19">
        <v>15311000000</v>
      </c>
      <c r="D7" s="19">
        <v>11946000000</v>
      </c>
      <c r="E7" s="19">
        <v>13475000000</v>
      </c>
      <c r="F7" s="19"/>
    </row>
    <row r="8" spans="1:6" x14ac:dyDescent="0.3">
      <c r="A8" t="s">
        <v>398</v>
      </c>
      <c r="B8" s="19"/>
      <c r="C8" s="19"/>
      <c r="D8" s="19"/>
      <c r="E8" s="19">
        <v>641000000</v>
      </c>
      <c r="F8" s="19">
        <v>886000000</v>
      </c>
    </row>
    <row r="9" spans="1:6" x14ac:dyDescent="0.3">
      <c r="A9" t="s">
        <v>399</v>
      </c>
      <c r="B9" s="19"/>
      <c r="C9" s="19"/>
      <c r="D9" s="19"/>
      <c r="E9" s="19">
        <v>641000000</v>
      </c>
      <c r="F9" s="19">
        <v>886000000</v>
      </c>
    </row>
    <row r="10" spans="1:6" x14ac:dyDescent="0.3">
      <c r="A10" t="s">
        <v>315</v>
      </c>
      <c r="B10" s="19">
        <v>21136000000</v>
      </c>
      <c r="C10" s="19">
        <v>15311000000</v>
      </c>
      <c r="D10" s="19">
        <v>11946000000</v>
      </c>
      <c r="E10" s="19">
        <v>13475000000</v>
      </c>
      <c r="F10" s="19"/>
    </row>
    <row r="11" spans="1:6" x14ac:dyDescent="0.3">
      <c r="A11" t="s">
        <v>316</v>
      </c>
      <c r="B11" s="19">
        <v>21136000000</v>
      </c>
      <c r="C11" s="19">
        <v>15311000000</v>
      </c>
      <c r="D11" s="19">
        <v>11946000000</v>
      </c>
      <c r="E11" s="19">
        <v>13475000000</v>
      </c>
      <c r="F11" s="19"/>
    </row>
    <row r="12" spans="1:6" x14ac:dyDescent="0.3">
      <c r="A12" t="s">
        <v>317</v>
      </c>
      <c r="B12" s="19">
        <v>8348000000</v>
      </c>
      <c r="C12" s="19">
        <v>-5257000000</v>
      </c>
      <c r="D12" s="19">
        <v>-7763000000</v>
      </c>
      <c r="E12" s="19">
        <v>-8081000000</v>
      </c>
      <c r="F12" s="19"/>
    </row>
    <row r="13" spans="1:6" x14ac:dyDescent="0.3">
      <c r="A13" t="s">
        <v>318</v>
      </c>
      <c r="B13" s="19">
        <v>8348000000</v>
      </c>
      <c r="C13" s="19">
        <v>-5257000000</v>
      </c>
      <c r="D13" s="19">
        <v>-7763000000</v>
      </c>
      <c r="E13" s="19">
        <v>-8081000000</v>
      </c>
      <c r="F13" s="19"/>
    </row>
    <row r="14" spans="1:6" x14ac:dyDescent="0.3">
      <c r="A14" t="s">
        <v>319</v>
      </c>
      <c r="B14" s="19">
        <v>24953000000</v>
      </c>
      <c r="C14" s="19">
        <v>22785000000</v>
      </c>
      <c r="D14" s="19">
        <v>22460000000</v>
      </c>
      <c r="E14" s="19">
        <v>19362000000</v>
      </c>
      <c r="F14" s="19"/>
    </row>
    <row r="15" spans="1:6" x14ac:dyDescent="0.3">
      <c r="A15" t="s">
        <v>400</v>
      </c>
      <c r="B15" s="19">
        <v>2108000000</v>
      </c>
      <c r="C15" s="19">
        <v>3419000000</v>
      </c>
      <c r="D15" s="19">
        <v>4330000000</v>
      </c>
      <c r="E15" s="19">
        <v>3483000000</v>
      </c>
      <c r="F15" s="19"/>
    </row>
    <row r="16" spans="1:6" x14ac:dyDescent="0.3">
      <c r="A16" t="s">
        <v>320</v>
      </c>
      <c r="B16" s="19">
        <v>-8779000000</v>
      </c>
      <c r="C16" s="19">
        <v>-5891000000</v>
      </c>
      <c r="D16" s="19">
        <v>-7833000000</v>
      </c>
      <c r="E16" s="19">
        <v>-2317000000</v>
      </c>
      <c r="F16" s="19"/>
    </row>
    <row r="17" spans="1:6" x14ac:dyDescent="0.3">
      <c r="A17" t="s">
        <v>321</v>
      </c>
      <c r="B17" s="19">
        <v>-8779000000</v>
      </c>
      <c r="C17" s="19">
        <v>-5891000000</v>
      </c>
      <c r="D17" s="19">
        <v>-7833000000</v>
      </c>
      <c r="E17" s="19">
        <v>-2317000000</v>
      </c>
      <c r="F17" s="19"/>
    </row>
    <row r="18" spans="1:6" x14ac:dyDescent="0.3">
      <c r="A18" t="s">
        <v>322</v>
      </c>
      <c r="B18" s="19">
        <v>907000000</v>
      </c>
      <c r="C18" s="19">
        <v>359000000</v>
      </c>
      <c r="D18" s="19">
        <v>664000000</v>
      </c>
      <c r="E18" s="19">
        <v>707000000</v>
      </c>
      <c r="F18" s="19"/>
    </row>
    <row r="19" spans="1:6" x14ac:dyDescent="0.3">
      <c r="A19" t="s">
        <v>323</v>
      </c>
      <c r="B19" s="19">
        <v>907000000</v>
      </c>
      <c r="C19" s="19">
        <v>359000000</v>
      </c>
      <c r="D19" s="19">
        <v>664000000</v>
      </c>
      <c r="E19" s="19">
        <v>707000000</v>
      </c>
      <c r="F19" s="19"/>
    </row>
    <row r="20" spans="1:6" x14ac:dyDescent="0.3">
      <c r="A20" t="s">
        <v>401</v>
      </c>
      <c r="B20" s="19">
        <v>13838000000</v>
      </c>
      <c r="C20" s="19">
        <v>-102000000</v>
      </c>
      <c r="D20" s="19">
        <v>4419000000</v>
      </c>
      <c r="E20" s="19">
        <v>3470000000</v>
      </c>
      <c r="F20" s="19"/>
    </row>
    <row r="21" spans="1:6" x14ac:dyDescent="0.3">
      <c r="A21" t="s">
        <v>324</v>
      </c>
      <c r="B21" s="19">
        <v>14745000000</v>
      </c>
      <c r="C21" s="19">
        <v>257000000</v>
      </c>
      <c r="D21" s="19">
        <v>5083000000</v>
      </c>
      <c r="E21" s="19">
        <v>4177000000</v>
      </c>
      <c r="F21" s="19"/>
    </row>
    <row r="22" spans="1:6" x14ac:dyDescent="0.3">
      <c r="A22" t="s">
        <v>325</v>
      </c>
      <c r="B22" s="19">
        <v>-4542000000</v>
      </c>
      <c r="C22" s="19">
        <v>-1397000000</v>
      </c>
      <c r="D22" s="19">
        <v>-2143000000</v>
      </c>
      <c r="E22" s="19">
        <v>-5046000000</v>
      </c>
      <c r="F22" s="19"/>
    </row>
    <row r="23" spans="1:6" x14ac:dyDescent="0.3">
      <c r="A23" t="s">
        <v>326</v>
      </c>
      <c r="B23" s="19">
        <v>-806000000</v>
      </c>
      <c r="C23" s="19">
        <v>-1375000000</v>
      </c>
      <c r="D23" s="19">
        <v>1048000000</v>
      </c>
      <c r="E23" s="19">
        <v>951000000</v>
      </c>
      <c r="F23" s="19"/>
    </row>
    <row r="24" spans="1:6" x14ac:dyDescent="0.3">
      <c r="A24" t="s">
        <v>327</v>
      </c>
      <c r="B24" s="19">
        <v>618000000</v>
      </c>
      <c r="C24" s="19">
        <v>-8406000000</v>
      </c>
      <c r="D24" s="19">
        <v>-3845000000</v>
      </c>
      <c r="E24" s="19">
        <v>-2235000000</v>
      </c>
      <c r="F24" s="19"/>
    </row>
    <row r="25" spans="1:6" x14ac:dyDescent="0.3">
      <c r="A25" t="s">
        <v>328</v>
      </c>
      <c r="B25" s="19">
        <v>164713000000</v>
      </c>
      <c r="C25" s="19">
        <v>125299000000</v>
      </c>
      <c r="D25" s="19">
        <v>101746000000</v>
      </c>
      <c r="E25" s="19">
        <v>91495000000</v>
      </c>
      <c r="F25" s="19"/>
    </row>
    <row r="26" spans="1:6" x14ac:dyDescent="0.3">
      <c r="A26" t="s">
        <v>329</v>
      </c>
      <c r="B26" s="19">
        <v>164713000000</v>
      </c>
      <c r="C26" s="19">
        <v>125299000000</v>
      </c>
      <c r="D26" s="19">
        <v>101746000000</v>
      </c>
      <c r="E26" s="19">
        <v>91495000000</v>
      </c>
      <c r="F26" s="19"/>
    </row>
    <row r="27" spans="1:6" x14ac:dyDescent="0.3">
      <c r="A27" t="s">
        <v>330</v>
      </c>
      <c r="B27" s="19">
        <v>-91447000000</v>
      </c>
      <c r="C27" s="19">
        <v>-52535000000</v>
      </c>
      <c r="D27" s="19">
        <v>-32251000000</v>
      </c>
      <c r="E27" s="19">
        <v>-31485000000</v>
      </c>
      <c r="F27" s="19"/>
    </row>
    <row r="28" spans="1:6" x14ac:dyDescent="0.3">
      <c r="A28" t="s">
        <v>331</v>
      </c>
      <c r="B28" s="19">
        <v>-91447000000</v>
      </c>
      <c r="C28" s="19">
        <v>-52535000000</v>
      </c>
      <c r="D28" s="19">
        <v>-32251000000</v>
      </c>
      <c r="E28" s="19">
        <v>-31485000000</v>
      </c>
      <c r="F28" s="19"/>
    </row>
    <row r="29" spans="1:6" x14ac:dyDescent="0.3">
      <c r="A29" t="s">
        <v>332</v>
      </c>
      <c r="B29" s="19">
        <v>-1592000000</v>
      </c>
      <c r="C29" s="19">
        <v>-2931000000</v>
      </c>
      <c r="D29" s="19">
        <v>-495000000</v>
      </c>
      <c r="E29" s="19">
        <v>-6969000000</v>
      </c>
      <c r="F29" s="19"/>
    </row>
    <row r="30" spans="1:6" x14ac:dyDescent="0.3">
      <c r="A30" t="s">
        <v>333</v>
      </c>
      <c r="B30" s="19">
        <v>-1592000000</v>
      </c>
      <c r="C30" s="19">
        <v>-2931000000</v>
      </c>
      <c r="D30" s="19">
        <v>-495000000</v>
      </c>
      <c r="E30" s="19">
        <v>-6969000000</v>
      </c>
      <c r="F30" s="19"/>
    </row>
    <row r="31" spans="1:6" x14ac:dyDescent="0.3">
      <c r="A31" t="s">
        <v>334</v>
      </c>
      <c r="B31" s="19">
        <v>-109489000000</v>
      </c>
      <c r="C31" s="19">
        <v>-91713000000</v>
      </c>
      <c r="D31" s="19">
        <v>-80885000000</v>
      </c>
      <c r="E31" s="19">
        <v>-81405000000</v>
      </c>
      <c r="F31" s="19"/>
    </row>
    <row r="32" spans="1:6" x14ac:dyDescent="0.3">
      <c r="A32" t="s">
        <v>335</v>
      </c>
      <c r="B32" s="19">
        <v>84607000000</v>
      </c>
      <c r="C32" s="19">
        <v>104310000000</v>
      </c>
      <c r="D32" s="19">
        <v>87619000000</v>
      </c>
      <c r="E32" s="19">
        <v>97972000000</v>
      </c>
      <c r="F32" s="19"/>
    </row>
    <row r="33" spans="1:6" x14ac:dyDescent="0.3">
      <c r="A33" t="s">
        <v>336</v>
      </c>
      <c r="B33" s="19">
        <v>-24882000000</v>
      </c>
      <c r="C33" s="19">
        <v>12597000000</v>
      </c>
      <c r="D33" s="19">
        <v>6734000000</v>
      </c>
      <c r="E33" s="19">
        <v>16567000000</v>
      </c>
      <c r="F33" s="19"/>
    </row>
    <row r="34" spans="1:6" x14ac:dyDescent="0.3">
      <c r="A34" t="s">
        <v>337</v>
      </c>
      <c r="B34" s="19">
        <v>-2370000000</v>
      </c>
      <c r="C34" s="19">
        <v>-2667000000</v>
      </c>
      <c r="D34" s="19">
        <v>-1051000000</v>
      </c>
      <c r="E34" s="19">
        <v>1589000000</v>
      </c>
      <c r="F34" s="19"/>
    </row>
    <row r="35" spans="1:6" x14ac:dyDescent="0.3">
      <c r="A35" t="s">
        <v>338</v>
      </c>
      <c r="B35" s="19">
        <v>-120291000000</v>
      </c>
      <c r="C35" s="19">
        <v>-45536000000</v>
      </c>
      <c r="D35" s="19">
        <v>-27063000000</v>
      </c>
      <c r="E35" s="19">
        <v>-20298000000</v>
      </c>
      <c r="F35" s="19"/>
    </row>
    <row r="36" spans="1:6" x14ac:dyDescent="0.3">
      <c r="A36" t="s">
        <v>339</v>
      </c>
      <c r="B36" s="19">
        <v>-120291000000</v>
      </c>
      <c r="C36" s="19">
        <v>-45536000000</v>
      </c>
      <c r="D36" s="19">
        <v>-27063000000</v>
      </c>
      <c r="E36" s="19">
        <v>-20298000000</v>
      </c>
      <c r="F36" s="19"/>
    </row>
    <row r="37" spans="1:6" x14ac:dyDescent="0.3">
      <c r="A37" t="s">
        <v>340</v>
      </c>
      <c r="B37" s="19">
        <v>64564000000</v>
      </c>
      <c r="C37" s="19">
        <v>13589000000</v>
      </c>
      <c r="D37" s="19">
        <v>10790000000</v>
      </c>
      <c r="E37" s="19">
        <v>52872000000</v>
      </c>
      <c r="F37" s="19"/>
    </row>
    <row r="38" spans="1:6" x14ac:dyDescent="0.3">
      <c r="A38" t="s">
        <v>341</v>
      </c>
      <c r="B38" s="19">
        <v>-32427000000</v>
      </c>
      <c r="C38" s="19">
        <v>-12701000000</v>
      </c>
      <c r="D38" s="19">
        <v>-11550000000</v>
      </c>
      <c r="E38" s="19">
        <v>-54068000000</v>
      </c>
      <c r="F38" s="19"/>
    </row>
    <row r="39" spans="1:6" x14ac:dyDescent="0.3">
      <c r="A39" t="s">
        <v>342</v>
      </c>
      <c r="B39" s="19">
        <v>32137000000</v>
      </c>
      <c r="C39" s="19">
        <v>888000000</v>
      </c>
      <c r="D39" s="19">
        <v>-760000000</v>
      </c>
      <c r="E39" s="19">
        <v>-1196000000</v>
      </c>
      <c r="F39" s="19"/>
    </row>
    <row r="40" spans="1:6" x14ac:dyDescent="0.3">
      <c r="A40" t="s">
        <v>343</v>
      </c>
      <c r="B40" s="19">
        <v>32137000000</v>
      </c>
      <c r="C40" s="19">
        <v>888000000</v>
      </c>
      <c r="D40" s="19">
        <v>-760000000</v>
      </c>
      <c r="E40" s="19">
        <v>-1196000000</v>
      </c>
      <c r="F40" s="19"/>
    </row>
    <row r="41" spans="1:6" x14ac:dyDescent="0.3">
      <c r="A41" t="s">
        <v>344</v>
      </c>
      <c r="B41" s="19">
        <v>-45709000000</v>
      </c>
      <c r="C41" s="19">
        <v>-62222000000</v>
      </c>
      <c r="D41" s="19">
        <v>-61504000000</v>
      </c>
      <c r="E41" s="19">
        <v>-59296000000</v>
      </c>
      <c r="F41" s="19"/>
    </row>
    <row r="42" spans="1:6" x14ac:dyDescent="0.3">
      <c r="A42" t="s">
        <v>345</v>
      </c>
      <c r="B42" s="19">
        <v>-45709000000</v>
      </c>
      <c r="C42" s="19">
        <v>-62222000000</v>
      </c>
      <c r="D42" s="19">
        <v>-61504000000</v>
      </c>
      <c r="E42" s="19">
        <v>-59296000000</v>
      </c>
      <c r="F42" s="19"/>
    </row>
    <row r="43" spans="1:6" x14ac:dyDescent="0.3">
      <c r="A43" t="s">
        <v>346</v>
      </c>
      <c r="B43" s="19">
        <v>-10049000000</v>
      </c>
      <c r="C43" s="19">
        <v>-7363000000</v>
      </c>
      <c r="D43" s="19">
        <v>0</v>
      </c>
      <c r="E43" s="19">
        <v>0</v>
      </c>
      <c r="F43" s="19"/>
    </row>
    <row r="44" spans="1:6" x14ac:dyDescent="0.3">
      <c r="A44" t="s">
        <v>347</v>
      </c>
      <c r="B44" s="19">
        <v>-10049000000</v>
      </c>
      <c r="C44" s="19">
        <v>-7363000000</v>
      </c>
      <c r="D44" s="19">
        <v>0</v>
      </c>
      <c r="E44" s="19">
        <v>0</v>
      </c>
      <c r="F44" s="19"/>
    </row>
    <row r="45" spans="1:6" x14ac:dyDescent="0.3">
      <c r="A45" t="s">
        <v>402</v>
      </c>
      <c r="B45" s="19">
        <v>-14167000000</v>
      </c>
      <c r="C45" s="19">
        <v>-12190000000</v>
      </c>
      <c r="D45" s="19">
        <v>-9837000000</v>
      </c>
      <c r="E45" s="19">
        <v>-9300000000</v>
      </c>
      <c r="F45" s="19"/>
    </row>
    <row r="46" spans="1:6" x14ac:dyDescent="0.3">
      <c r="A46" t="s">
        <v>348</v>
      </c>
      <c r="B46" s="19">
        <v>400000000</v>
      </c>
      <c r="C46" s="19">
        <v>1154000000</v>
      </c>
      <c r="D46" s="19">
        <v>8000000</v>
      </c>
      <c r="E46" s="19">
        <v>35000000</v>
      </c>
      <c r="F46" s="19"/>
    </row>
    <row r="47" spans="1:6" x14ac:dyDescent="0.3">
      <c r="A47" t="s">
        <v>349</v>
      </c>
      <c r="B47" s="19">
        <v>-37388000000</v>
      </c>
      <c r="C47" s="19">
        <v>-79733000000</v>
      </c>
      <c r="D47" s="19">
        <v>-72093000000</v>
      </c>
      <c r="E47" s="19">
        <v>-69757000000</v>
      </c>
      <c r="F47" s="19"/>
    </row>
    <row r="48" spans="1:6" x14ac:dyDescent="0.3">
      <c r="A48" t="s">
        <v>350</v>
      </c>
      <c r="B48" s="19">
        <v>-37388000000</v>
      </c>
      <c r="C48" s="19">
        <v>-79733000000</v>
      </c>
      <c r="D48" s="19">
        <v>-72093000000</v>
      </c>
      <c r="E48" s="19">
        <v>-69757000000</v>
      </c>
      <c r="F48" s="19"/>
    </row>
    <row r="49" spans="1:6" x14ac:dyDescent="0.3">
      <c r="A49" t="s">
        <v>351</v>
      </c>
      <c r="B49" s="19">
        <v>7034000000</v>
      </c>
      <c r="C49" s="19">
        <v>30000000</v>
      </c>
      <c r="D49" s="19">
        <v>2590000000</v>
      </c>
      <c r="E49" s="19">
        <v>1440000000</v>
      </c>
      <c r="F49" s="19"/>
    </row>
    <row r="50" spans="1:6" x14ac:dyDescent="0.3">
      <c r="A50" t="s">
        <v>352</v>
      </c>
      <c r="B50" s="19">
        <v>208000000</v>
      </c>
      <c r="C50" s="19">
        <v>-612000000</v>
      </c>
      <c r="D50" s="19">
        <v>-421000000</v>
      </c>
      <c r="E50" s="19">
        <v>-506000000</v>
      </c>
      <c r="F50" s="19"/>
    </row>
    <row r="51" spans="1:6" x14ac:dyDescent="0.3">
      <c r="A51" t="s">
        <v>353</v>
      </c>
      <c r="B51" s="19">
        <v>23466000000</v>
      </c>
      <c r="C51" s="19">
        <v>24048000000</v>
      </c>
      <c r="D51" s="19">
        <v>21879000000</v>
      </c>
      <c r="E51" s="19">
        <v>20945000000</v>
      </c>
      <c r="F51" s="19"/>
    </row>
    <row r="52" spans="1:6" x14ac:dyDescent="0.3">
      <c r="A52" t="s">
        <v>354</v>
      </c>
      <c r="B52" s="19">
        <v>30708000000</v>
      </c>
      <c r="C52" s="19">
        <v>23466000000</v>
      </c>
      <c r="D52" s="19">
        <v>24048000000</v>
      </c>
      <c r="E52" s="19">
        <v>21879000000</v>
      </c>
      <c r="F52" s="19"/>
    </row>
    <row r="53" spans="1:6" x14ac:dyDescent="0.3">
      <c r="A53" t="s">
        <v>403</v>
      </c>
      <c r="B53" s="19"/>
      <c r="C53" s="19"/>
      <c r="D53" s="19">
        <v>19164000000</v>
      </c>
      <c r="E53" s="19">
        <v>18892000000</v>
      </c>
      <c r="F53" s="19">
        <v>13412000000</v>
      </c>
    </row>
    <row r="54" spans="1:6" x14ac:dyDescent="0.3">
      <c r="A54" t="s">
        <v>355</v>
      </c>
      <c r="B54" s="19">
        <v>-91447000000</v>
      </c>
      <c r="C54" s="19">
        <v>-52535000000</v>
      </c>
      <c r="D54" s="19">
        <v>-32251000000</v>
      </c>
      <c r="E54" s="19">
        <v>-31485000000</v>
      </c>
      <c r="F54" s="19"/>
    </row>
    <row r="55" spans="1:6" x14ac:dyDescent="0.3">
      <c r="A55" t="s">
        <v>356</v>
      </c>
      <c r="B55" s="19">
        <v>64564000000</v>
      </c>
      <c r="C55" s="19">
        <v>13589000000</v>
      </c>
      <c r="D55" s="19">
        <v>10790000000</v>
      </c>
      <c r="E55" s="19">
        <v>52872000000</v>
      </c>
      <c r="F55" s="19"/>
    </row>
    <row r="56" spans="1:6" x14ac:dyDescent="0.3">
      <c r="A56" t="s">
        <v>58</v>
      </c>
      <c r="B56" s="19">
        <v>-32427000000</v>
      </c>
      <c r="C56" s="19">
        <v>-12701000000</v>
      </c>
      <c r="D56" s="19">
        <v>-11550000000</v>
      </c>
      <c r="E56" s="19">
        <v>-54068000000</v>
      </c>
      <c r="F56" s="19"/>
    </row>
    <row r="57" spans="1:6" x14ac:dyDescent="0.3">
      <c r="A57" t="s">
        <v>57</v>
      </c>
      <c r="B57" s="19">
        <v>-45709000000</v>
      </c>
      <c r="C57" s="19">
        <v>-62222000000</v>
      </c>
      <c r="D57" s="19">
        <v>-61504000000</v>
      </c>
      <c r="E57" s="19">
        <v>-59296000000</v>
      </c>
      <c r="F57" s="19"/>
    </row>
    <row r="58" spans="1:6" x14ac:dyDescent="0.3">
      <c r="A58" t="s">
        <v>56</v>
      </c>
      <c r="B58" s="19">
        <v>73266000000</v>
      </c>
      <c r="C58" s="19">
        <v>72764000000</v>
      </c>
      <c r="D58" s="19">
        <v>69495000000</v>
      </c>
      <c r="E58" s="19">
        <v>60010000000</v>
      </c>
      <c r="F58" s="1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B5A8C-49E9-41B6-824E-1BD4BCA9EB10}">
  <dimension ref="A1:G53"/>
  <sheetViews>
    <sheetView workbookViewId="0"/>
  </sheetViews>
  <sheetFormatPr defaultRowHeight="14.4" x14ac:dyDescent="0.3"/>
  <cols>
    <col min="1" max="1" width="44.77734375" customWidth="1"/>
    <col min="2" max="8" width="18.77734375" customWidth="1"/>
  </cols>
  <sheetData>
    <row r="1" spans="1:7" x14ac:dyDescent="0.3">
      <c r="A1" s="16" t="s">
        <v>451</v>
      </c>
    </row>
    <row r="3" spans="1:7" x14ac:dyDescent="0.3">
      <c r="A3" t="s">
        <v>28</v>
      </c>
      <c r="B3" s="1" t="s">
        <v>452</v>
      </c>
      <c r="C3" s="1" t="s">
        <v>453</v>
      </c>
      <c r="D3" s="1" t="s">
        <v>446</v>
      </c>
      <c r="E3" s="1" t="s">
        <v>454</v>
      </c>
      <c r="F3" s="1" t="s">
        <v>455</v>
      </c>
      <c r="G3" s="1" t="s">
        <v>456</v>
      </c>
    </row>
    <row r="4" spans="1:7" x14ac:dyDescent="0.3">
      <c r="A4" t="s">
        <v>27</v>
      </c>
      <c r="B4" s="19">
        <v>119796000000</v>
      </c>
      <c r="C4" s="19">
        <v>109896000000</v>
      </c>
      <c r="D4" s="19">
        <v>113829000000</v>
      </c>
      <c r="E4" s="19">
        <v>102346000000</v>
      </c>
      <c r="F4" s="19">
        <v>96428000000</v>
      </c>
      <c r="G4" s="19"/>
    </row>
    <row r="5" spans="1:7" x14ac:dyDescent="0.3">
      <c r="A5" t="s">
        <v>26</v>
      </c>
      <c r="B5" s="19">
        <v>119796000000</v>
      </c>
      <c r="C5" s="19">
        <v>109896000000</v>
      </c>
      <c r="D5" s="19">
        <v>113829000000</v>
      </c>
      <c r="E5" s="19">
        <v>102346000000</v>
      </c>
      <c r="F5" s="19">
        <v>96428000000</v>
      </c>
      <c r="G5" s="19"/>
    </row>
    <row r="6" spans="1:7" x14ac:dyDescent="0.3">
      <c r="A6" t="s">
        <v>42</v>
      </c>
      <c r="B6" s="19">
        <v>45943000000</v>
      </c>
      <c r="C6" s="19">
        <v>41271000000</v>
      </c>
      <c r="D6" s="19">
        <v>45767000000</v>
      </c>
      <c r="E6" s="19">
        <v>41369000000</v>
      </c>
      <c r="F6" s="19">
        <v>39039000000</v>
      </c>
      <c r="G6" s="19"/>
    </row>
    <row r="7" spans="1:7" x14ac:dyDescent="0.3">
      <c r="A7" t="s">
        <v>41</v>
      </c>
      <c r="B7" s="19">
        <v>73853000000</v>
      </c>
      <c r="C7" s="19">
        <v>68625000000</v>
      </c>
      <c r="D7" s="19">
        <v>68062000000</v>
      </c>
      <c r="E7" s="19">
        <v>60977000000</v>
      </c>
      <c r="F7" s="19">
        <v>57389000000</v>
      </c>
      <c r="G7" s="19"/>
    </row>
    <row r="8" spans="1:7" x14ac:dyDescent="0.3">
      <c r="A8" t="s">
        <v>393</v>
      </c>
      <c r="B8" s="19">
        <v>6461000000</v>
      </c>
      <c r="C8" s="19">
        <v>4291000000</v>
      </c>
      <c r="D8" s="19">
        <v>5341000000</v>
      </c>
      <c r="E8" s="19">
        <v>7393000000</v>
      </c>
      <c r="F8" s="19">
        <v>5209000000</v>
      </c>
      <c r="G8" s="19"/>
    </row>
    <row r="9" spans="1:7" x14ac:dyDescent="0.3">
      <c r="A9" t="s">
        <v>394</v>
      </c>
      <c r="B9" s="19">
        <v>6461000000</v>
      </c>
      <c r="C9" s="19">
        <v>4291000000</v>
      </c>
      <c r="D9" s="19">
        <v>5341000000</v>
      </c>
      <c r="E9" s="19">
        <v>7393000000</v>
      </c>
      <c r="F9" s="19">
        <v>5209000000</v>
      </c>
      <c r="G9" s="19"/>
    </row>
    <row r="10" spans="1:7" x14ac:dyDescent="0.3">
      <c r="A10" t="s">
        <v>395</v>
      </c>
      <c r="B10" s="19">
        <v>8403000000</v>
      </c>
      <c r="C10" s="19">
        <v>7606000000</v>
      </c>
      <c r="D10" s="19">
        <v>8215000000</v>
      </c>
      <c r="E10" s="19">
        <v>7205000000</v>
      </c>
      <c r="F10" s="19">
        <v>7101000000</v>
      </c>
      <c r="G10" s="19"/>
    </row>
    <row r="11" spans="1:7" x14ac:dyDescent="0.3">
      <c r="A11" t="s">
        <v>25</v>
      </c>
      <c r="B11" s="19">
        <v>14864000000</v>
      </c>
      <c r="C11" s="19">
        <v>11897000000</v>
      </c>
      <c r="D11" s="19">
        <v>13556000000</v>
      </c>
      <c r="E11" s="19">
        <v>14598000000</v>
      </c>
      <c r="F11" s="19">
        <v>12310000000</v>
      </c>
      <c r="G11" s="19"/>
    </row>
    <row r="12" spans="1:7" x14ac:dyDescent="0.3">
      <c r="A12" t="s">
        <v>60</v>
      </c>
      <c r="B12" s="19">
        <v>18219000000</v>
      </c>
      <c r="C12" s="19">
        <v>17032000000</v>
      </c>
      <c r="D12" s="19">
        <v>18572000000</v>
      </c>
      <c r="E12" s="19">
        <v>15151000000</v>
      </c>
      <c r="F12" s="19">
        <v>13808000000</v>
      </c>
      <c r="G12" s="19"/>
    </row>
    <row r="13" spans="1:7" x14ac:dyDescent="0.3">
      <c r="A13" t="s">
        <v>24</v>
      </c>
      <c r="B13" s="19">
        <v>33083000000</v>
      </c>
      <c r="C13" s="19">
        <v>28929000000</v>
      </c>
      <c r="D13" s="19">
        <v>32128000000</v>
      </c>
      <c r="E13" s="19">
        <v>29749000000</v>
      </c>
      <c r="F13" s="19">
        <v>26118000000</v>
      </c>
      <c r="G13" s="19"/>
    </row>
    <row r="14" spans="1:7" x14ac:dyDescent="0.3">
      <c r="A14" t="s">
        <v>40</v>
      </c>
      <c r="B14" s="19">
        <v>40770000000</v>
      </c>
      <c r="C14" s="19">
        <v>39696000000</v>
      </c>
      <c r="D14" s="19">
        <v>35934000000</v>
      </c>
      <c r="E14" s="19">
        <v>31228000000</v>
      </c>
      <c r="F14" s="19">
        <v>31271000000</v>
      </c>
      <c r="G14" s="19"/>
    </row>
    <row r="15" spans="1:7" x14ac:dyDescent="0.3">
      <c r="A15" t="s">
        <v>39</v>
      </c>
      <c r="B15" s="19">
        <v>1430000000</v>
      </c>
      <c r="C15" s="19">
        <v>1381000000</v>
      </c>
      <c r="D15" s="19">
        <v>1209000000</v>
      </c>
      <c r="E15" s="19">
        <v>1076000000</v>
      </c>
      <c r="F15" s="19">
        <v>1050000000</v>
      </c>
      <c r="G15" s="19"/>
    </row>
    <row r="16" spans="1:7" x14ac:dyDescent="0.3">
      <c r="A16" t="s">
        <v>38</v>
      </c>
      <c r="B16" s="19">
        <v>1278000000</v>
      </c>
      <c r="C16" s="19">
        <v>533000000</v>
      </c>
      <c r="D16" s="19">
        <v>298000000</v>
      </c>
      <c r="E16" s="19">
        <v>143000000</v>
      </c>
      <c r="F16" s="19">
        <v>261000000</v>
      </c>
      <c r="G16" s="19"/>
    </row>
    <row r="17" spans="1:7" x14ac:dyDescent="0.3">
      <c r="A17" t="s">
        <v>37</v>
      </c>
      <c r="B17" s="19">
        <v>152000000</v>
      </c>
      <c r="C17" s="19">
        <v>848000000</v>
      </c>
      <c r="D17" s="19">
        <v>911000000</v>
      </c>
      <c r="E17" s="19">
        <v>933000000</v>
      </c>
      <c r="F17" s="19">
        <v>789000000</v>
      </c>
      <c r="G17" s="19"/>
    </row>
    <row r="18" spans="1:7" x14ac:dyDescent="0.3">
      <c r="A18" t="s">
        <v>396</v>
      </c>
      <c r="B18" s="19">
        <v>98839000000</v>
      </c>
      <c r="C18" s="19">
        <v>36950000000</v>
      </c>
      <c r="D18" s="19">
        <v>2289000000</v>
      </c>
      <c r="E18" s="19">
        <v>10713000000</v>
      </c>
      <c r="F18" s="19">
        <v>1382000000</v>
      </c>
      <c r="G18" s="19"/>
    </row>
    <row r="19" spans="1:7" x14ac:dyDescent="0.3">
      <c r="A19" t="s">
        <v>397</v>
      </c>
      <c r="B19" s="19">
        <v>-35000000</v>
      </c>
      <c r="C19" s="19">
        <v>60000000</v>
      </c>
      <c r="D19" s="19">
        <v>-86000000</v>
      </c>
      <c r="E19" s="19">
        <v>-30000000</v>
      </c>
      <c r="F19" s="19">
        <v>419000000</v>
      </c>
      <c r="G19" s="19"/>
    </row>
    <row r="20" spans="1:7" x14ac:dyDescent="0.3">
      <c r="A20" t="s">
        <v>447</v>
      </c>
      <c r="B20" s="19"/>
      <c r="C20" s="19"/>
      <c r="D20" s="19">
        <v>86000000</v>
      </c>
      <c r="E20" s="19">
        <v>30000000</v>
      </c>
      <c r="F20" s="19">
        <v>-419000000</v>
      </c>
      <c r="G20" s="19">
        <v>22000000</v>
      </c>
    </row>
    <row r="21" spans="1:7" x14ac:dyDescent="0.3">
      <c r="A21" t="s">
        <v>23</v>
      </c>
      <c r="B21" s="19"/>
      <c r="C21" s="19"/>
      <c r="D21" s="19">
        <v>-86000000</v>
      </c>
      <c r="E21" s="19">
        <v>-30000000</v>
      </c>
      <c r="F21" s="19">
        <v>419000000</v>
      </c>
      <c r="G21" s="19">
        <v>-22000000</v>
      </c>
    </row>
    <row r="22" spans="1:7" x14ac:dyDescent="0.3">
      <c r="A22" t="s">
        <v>36</v>
      </c>
      <c r="B22" s="19">
        <v>-973000000</v>
      </c>
      <c r="C22" s="19">
        <v>-142000000</v>
      </c>
      <c r="D22" s="19">
        <v>69000000</v>
      </c>
      <c r="E22" s="19">
        <v>1143000000</v>
      </c>
      <c r="F22" s="19">
        <v>72000000</v>
      </c>
      <c r="G22" s="19"/>
    </row>
    <row r="23" spans="1:7" x14ac:dyDescent="0.3">
      <c r="A23" t="s">
        <v>35</v>
      </c>
      <c r="B23" s="19">
        <v>97831000000</v>
      </c>
      <c r="C23" s="19">
        <v>36868000000</v>
      </c>
      <c r="D23" s="19">
        <v>2272000000</v>
      </c>
      <c r="E23" s="19">
        <v>11826000000</v>
      </c>
      <c r="F23" s="19">
        <v>1873000000</v>
      </c>
      <c r="G23" s="19"/>
    </row>
    <row r="24" spans="1:7" x14ac:dyDescent="0.3">
      <c r="A24" t="s">
        <v>22</v>
      </c>
      <c r="B24" s="19">
        <v>138753000000</v>
      </c>
      <c r="C24" s="19">
        <v>77412000000</v>
      </c>
      <c r="D24" s="19">
        <v>39117000000</v>
      </c>
      <c r="E24" s="19">
        <v>43987000000</v>
      </c>
      <c r="F24" s="19">
        <v>33933000000</v>
      </c>
      <c r="G24" s="19"/>
    </row>
    <row r="25" spans="1:7" x14ac:dyDescent="0.3">
      <c r="A25" t="s">
        <v>21</v>
      </c>
      <c r="B25" s="19">
        <v>26560000000</v>
      </c>
      <c r="C25" s="19">
        <v>14834000000</v>
      </c>
      <c r="D25" s="19">
        <v>4662000000</v>
      </c>
      <c r="E25" s="19">
        <v>9008000000</v>
      </c>
      <c r="F25" s="19">
        <v>5737000000</v>
      </c>
      <c r="G25" s="19"/>
    </row>
    <row r="26" spans="1:7" x14ac:dyDescent="0.3">
      <c r="A26" t="s">
        <v>20</v>
      </c>
      <c r="B26" s="19">
        <v>112193000000</v>
      </c>
      <c r="C26" s="19">
        <v>62578000000</v>
      </c>
      <c r="D26" s="19">
        <v>34455000000</v>
      </c>
      <c r="E26" s="19">
        <v>34979000000</v>
      </c>
      <c r="F26" s="19">
        <v>28196000000</v>
      </c>
      <c r="G26" s="19"/>
    </row>
    <row r="27" spans="1:7" x14ac:dyDescent="0.3">
      <c r="A27" t="s">
        <v>19</v>
      </c>
      <c r="B27" s="19">
        <v>112193000000</v>
      </c>
      <c r="C27" s="19">
        <v>62578000000</v>
      </c>
      <c r="D27" s="19">
        <v>34455000000</v>
      </c>
      <c r="E27" s="19">
        <v>34979000000</v>
      </c>
      <c r="F27" s="19">
        <v>28196000000</v>
      </c>
      <c r="G27" s="19"/>
    </row>
    <row r="28" spans="1:7" x14ac:dyDescent="0.3">
      <c r="A28" t="s">
        <v>18</v>
      </c>
      <c r="B28" s="19">
        <v>112193000000</v>
      </c>
      <c r="C28" s="19">
        <v>62578000000</v>
      </c>
      <c r="D28" s="19">
        <v>34455000000</v>
      </c>
      <c r="E28" s="19">
        <v>34979000000</v>
      </c>
      <c r="F28" s="19">
        <v>28196000000</v>
      </c>
      <c r="G28" s="19"/>
    </row>
    <row r="29" spans="1:7" x14ac:dyDescent="0.3">
      <c r="A29" t="s">
        <v>17</v>
      </c>
      <c r="B29" s="19">
        <v>86000000</v>
      </c>
      <c r="C29" s="19"/>
      <c r="D29" s="19"/>
      <c r="E29" s="19"/>
      <c r="F29" s="19">
        <v>0</v>
      </c>
      <c r="G29" s="19"/>
    </row>
    <row r="30" spans="1:7" x14ac:dyDescent="0.3">
      <c r="A30" t="s">
        <v>16</v>
      </c>
      <c r="B30" s="19">
        <v>112107000000</v>
      </c>
      <c r="C30" s="19">
        <v>62578000000</v>
      </c>
      <c r="D30" s="19">
        <v>34455000000</v>
      </c>
      <c r="E30" s="19">
        <v>34979000000</v>
      </c>
      <c r="F30" s="19">
        <v>28196000000</v>
      </c>
      <c r="G30" s="19"/>
    </row>
    <row r="31" spans="1:7" x14ac:dyDescent="0.3">
      <c r="A31" t="s">
        <v>59</v>
      </c>
      <c r="B31" s="19"/>
      <c r="C31" s="19">
        <v>0</v>
      </c>
      <c r="D31" s="19"/>
      <c r="E31" s="19"/>
      <c r="F31" s="19"/>
      <c r="G31" s="19">
        <v>0</v>
      </c>
    </row>
    <row r="32" spans="1:7" x14ac:dyDescent="0.3">
      <c r="A32" t="s">
        <v>15</v>
      </c>
      <c r="B32" s="19">
        <v>112107000000</v>
      </c>
      <c r="C32" s="19">
        <v>62578000000</v>
      </c>
      <c r="D32" s="19">
        <v>34455000000</v>
      </c>
      <c r="E32" s="19">
        <v>34979000000</v>
      </c>
      <c r="F32" s="19">
        <v>28196000000</v>
      </c>
      <c r="G32" s="19"/>
    </row>
    <row r="33" spans="1:7" x14ac:dyDescent="0.3">
      <c r="A33" t="s">
        <v>14</v>
      </c>
      <c r="B33" s="19">
        <v>9.23</v>
      </c>
      <c r="C33" s="19">
        <v>5.17</v>
      </c>
      <c r="D33" s="19">
        <v>2.85</v>
      </c>
      <c r="E33" s="19">
        <v>2.89</v>
      </c>
      <c r="F33" s="19">
        <v>2.33</v>
      </c>
      <c r="G33" s="19"/>
    </row>
    <row r="34" spans="1:7" x14ac:dyDescent="0.3">
      <c r="A34" t="s">
        <v>13</v>
      </c>
      <c r="B34" s="19">
        <v>9.11</v>
      </c>
      <c r="C34" s="19">
        <v>5.1100000000000003</v>
      </c>
      <c r="D34" s="19">
        <v>2.82</v>
      </c>
      <c r="E34" s="19">
        <v>2.87</v>
      </c>
      <c r="F34" s="19">
        <v>2.31</v>
      </c>
      <c r="G34" s="19"/>
    </row>
    <row r="35" spans="1:7" x14ac:dyDescent="0.3">
      <c r="A35" t="s">
        <v>12</v>
      </c>
      <c r="B35" s="19">
        <v>12151000000</v>
      </c>
      <c r="C35" s="19">
        <v>12099000000</v>
      </c>
      <c r="D35" s="19">
        <v>12073000000</v>
      </c>
      <c r="E35" s="19">
        <v>12086000000</v>
      </c>
      <c r="F35" s="19">
        <v>12122000000</v>
      </c>
      <c r="G35" s="19"/>
    </row>
    <row r="36" spans="1:7" x14ac:dyDescent="0.3">
      <c r="A36" t="s">
        <v>11</v>
      </c>
      <c r="B36" s="19">
        <v>12309000000</v>
      </c>
      <c r="C36" s="19">
        <v>12238000000</v>
      </c>
      <c r="D36" s="19">
        <v>12228000000</v>
      </c>
      <c r="E36" s="19">
        <v>12203000000</v>
      </c>
      <c r="F36" s="19">
        <v>12198000000</v>
      </c>
      <c r="G36" s="19"/>
    </row>
    <row r="37" spans="1:7" x14ac:dyDescent="0.3">
      <c r="A37" t="s">
        <v>34</v>
      </c>
      <c r="B37" s="19">
        <v>40770000000</v>
      </c>
      <c r="C37" s="19">
        <v>39696000000</v>
      </c>
      <c r="D37" s="19">
        <v>35934000000</v>
      </c>
      <c r="E37" s="19">
        <v>31228000000</v>
      </c>
      <c r="F37" s="19">
        <v>31271000000</v>
      </c>
      <c r="G37" s="19"/>
    </row>
    <row r="38" spans="1:7" x14ac:dyDescent="0.3">
      <c r="A38" t="s">
        <v>33</v>
      </c>
      <c r="B38" s="19">
        <v>79026000000</v>
      </c>
      <c r="C38" s="19">
        <v>70200000000</v>
      </c>
      <c r="D38" s="19">
        <v>77895000000</v>
      </c>
      <c r="E38" s="19">
        <v>71118000000</v>
      </c>
      <c r="F38" s="19">
        <v>65157000000</v>
      </c>
      <c r="G38" s="19"/>
    </row>
    <row r="39" spans="1:7" x14ac:dyDescent="0.3">
      <c r="A39" t="s">
        <v>10</v>
      </c>
      <c r="B39" s="19">
        <v>112193000000</v>
      </c>
      <c r="C39" s="19">
        <v>62578000000</v>
      </c>
      <c r="D39" s="19">
        <v>34455000000</v>
      </c>
      <c r="E39" s="19">
        <v>34979000000</v>
      </c>
      <c r="F39" s="19">
        <v>28196000000</v>
      </c>
      <c r="G39" s="19"/>
    </row>
    <row r="40" spans="1:7" x14ac:dyDescent="0.3">
      <c r="A40" t="s">
        <v>9</v>
      </c>
      <c r="B40" s="19">
        <v>32232249000</v>
      </c>
      <c r="C40" s="19">
        <v>32708508189.94471</v>
      </c>
      <c r="D40" s="19">
        <v>32438805123.092262</v>
      </c>
      <c r="E40" s="19">
        <v>26462165000</v>
      </c>
      <c r="F40" s="19">
        <v>27047652609.554119</v>
      </c>
      <c r="G40" s="19"/>
    </row>
    <row r="41" spans="1:7" x14ac:dyDescent="0.3">
      <c r="A41" t="s">
        <v>8</v>
      </c>
      <c r="B41" s="19">
        <v>1430000000</v>
      </c>
      <c r="C41" s="19">
        <v>1381000000</v>
      </c>
      <c r="D41" s="19">
        <v>1209000000</v>
      </c>
      <c r="E41" s="19">
        <v>1076000000</v>
      </c>
      <c r="F41" s="19">
        <v>1050000000</v>
      </c>
      <c r="G41" s="19"/>
    </row>
    <row r="42" spans="1:7" x14ac:dyDescent="0.3">
      <c r="A42" t="s">
        <v>7</v>
      </c>
      <c r="B42" s="19">
        <v>1278000000</v>
      </c>
      <c r="C42" s="19">
        <v>533000000</v>
      </c>
      <c r="D42" s="19">
        <v>298000000</v>
      </c>
      <c r="E42" s="19">
        <v>143000000</v>
      </c>
      <c r="F42" s="19">
        <v>261000000</v>
      </c>
      <c r="G42" s="19"/>
    </row>
    <row r="43" spans="1:7" x14ac:dyDescent="0.3">
      <c r="A43" t="s">
        <v>6</v>
      </c>
      <c r="B43" s="19">
        <v>152000000</v>
      </c>
      <c r="C43" s="19">
        <v>848000000</v>
      </c>
      <c r="D43" s="19">
        <v>911000000</v>
      </c>
      <c r="E43" s="19">
        <v>933000000</v>
      </c>
      <c r="F43" s="19">
        <v>789000000</v>
      </c>
      <c r="G43" s="19"/>
    </row>
    <row r="44" spans="1:7" x14ac:dyDescent="0.3">
      <c r="A44" t="s">
        <v>32</v>
      </c>
      <c r="B44" s="19">
        <v>140031000000</v>
      </c>
      <c r="C44" s="19">
        <v>77945000000</v>
      </c>
      <c r="D44" s="19">
        <v>39415000000</v>
      </c>
      <c r="E44" s="19">
        <v>44130000000</v>
      </c>
      <c r="F44" s="19">
        <v>34194000000</v>
      </c>
      <c r="G44" s="19"/>
    </row>
    <row r="45" spans="1:7" x14ac:dyDescent="0.3">
      <c r="A45" t="s">
        <v>31</v>
      </c>
      <c r="B45" s="19">
        <v>147135000000</v>
      </c>
      <c r="C45" s="19">
        <v>84427000000</v>
      </c>
      <c r="D45" s="19">
        <v>45455000000</v>
      </c>
      <c r="E45" s="19">
        <v>49741000000</v>
      </c>
      <c r="F45" s="19">
        <v>39192000000</v>
      </c>
      <c r="G45" s="19"/>
    </row>
    <row r="46" spans="1:7" x14ac:dyDescent="0.3">
      <c r="A46" t="s">
        <v>30</v>
      </c>
      <c r="B46" s="19">
        <v>45943000000</v>
      </c>
      <c r="C46" s="19">
        <v>41271000000</v>
      </c>
      <c r="D46" s="19">
        <v>45767000000</v>
      </c>
      <c r="E46" s="19">
        <v>41369000000</v>
      </c>
      <c r="F46" s="19">
        <v>39039000000</v>
      </c>
      <c r="G46" s="19"/>
    </row>
    <row r="47" spans="1:7" x14ac:dyDescent="0.3">
      <c r="A47" t="s">
        <v>5</v>
      </c>
      <c r="B47" s="19">
        <v>7104000000</v>
      </c>
      <c r="C47" s="19">
        <v>6482000000</v>
      </c>
      <c r="D47" s="19">
        <v>6040000000</v>
      </c>
      <c r="E47" s="19">
        <v>5611000000</v>
      </c>
      <c r="F47" s="19">
        <v>4998000000</v>
      </c>
      <c r="G47" s="19"/>
    </row>
    <row r="48" spans="1:7" x14ac:dyDescent="0.3">
      <c r="A48" t="s">
        <v>4</v>
      </c>
      <c r="B48" s="19">
        <v>112193000000</v>
      </c>
      <c r="C48" s="19">
        <v>62578000000</v>
      </c>
      <c r="D48" s="19">
        <v>34455000000</v>
      </c>
      <c r="E48" s="19">
        <v>34979000000</v>
      </c>
      <c r="F48" s="19">
        <v>28196000000</v>
      </c>
      <c r="G48" s="19"/>
    </row>
    <row r="49" spans="1:7" x14ac:dyDescent="0.3">
      <c r="A49" t="s">
        <v>3</v>
      </c>
      <c r="B49" s="19">
        <v>98839000000</v>
      </c>
      <c r="C49" s="19">
        <v>36950000000</v>
      </c>
      <c r="D49" s="19">
        <v>2289000000</v>
      </c>
      <c r="E49" s="19">
        <v>10713000000</v>
      </c>
      <c r="F49" s="19">
        <v>1382000000</v>
      </c>
      <c r="G49" s="19"/>
    </row>
    <row r="50" spans="1:7" x14ac:dyDescent="0.3">
      <c r="A50" t="s">
        <v>2</v>
      </c>
      <c r="B50" s="19">
        <v>98839000000</v>
      </c>
      <c r="C50" s="19">
        <v>36950000000</v>
      </c>
      <c r="D50" s="19">
        <v>2289000000</v>
      </c>
      <c r="E50" s="19">
        <v>10713000000</v>
      </c>
      <c r="F50" s="19">
        <v>1382000000</v>
      </c>
      <c r="G50" s="19"/>
    </row>
    <row r="51" spans="1:7" x14ac:dyDescent="0.3">
      <c r="A51" t="s">
        <v>29</v>
      </c>
      <c r="B51" s="19">
        <v>48296000000</v>
      </c>
      <c r="C51" s="19">
        <v>47477000000</v>
      </c>
      <c r="D51" s="19">
        <v>43166000000</v>
      </c>
      <c r="E51" s="19">
        <v>39028000000</v>
      </c>
      <c r="F51" s="19">
        <v>37810000000</v>
      </c>
      <c r="G51" s="19"/>
    </row>
    <row r="52" spans="1:7" x14ac:dyDescent="0.3">
      <c r="A52" t="s">
        <v>1</v>
      </c>
      <c r="B52" s="19">
        <v>0.191</v>
      </c>
      <c r="C52" s="19">
        <v>0.19162399999999999</v>
      </c>
      <c r="D52" s="19">
        <v>0.119181</v>
      </c>
      <c r="E52" s="19">
        <v>0.20499999999999999</v>
      </c>
      <c r="F52" s="19">
        <v>0.169068</v>
      </c>
      <c r="G52" s="19"/>
    </row>
    <row r="53" spans="1:7" x14ac:dyDescent="0.3">
      <c r="A53" t="s">
        <v>0</v>
      </c>
      <c r="B53" s="19">
        <v>18878249000</v>
      </c>
      <c r="C53" s="19">
        <v>7080508189.9447107</v>
      </c>
      <c r="D53" s="19">
        <v>272805123.09226203</v>
      </c>
      <c r="E53" s="19">
        <v>2196165000</v>
      </c>
      <c r="F53" s="19">
        <v>233652609.55412099</v>
      </c>
      <c r="G53" s="1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C008-F133-4B03-869A-1DD7DF229CF4}">
  <dimension ref="A1:R128"/>
  <sheetViews>
    <sheetView workbookViewId="0"/>
  </sheetViews>
  <sheetFormatPr defaultRowHeight="14.4" x14ac:dyDescent="0.3"/>
  <cols>
    <col min="1" max="1" width="13.77734375" customWidth="1"/>
    <col min="2" max="26" width="12.77734375" customWidth="1"/>
  </cols>
  <sheetData>
    <row r="1" spans="1:18" x14ac:dyDescent="0.3">
      <c r="A1" s="16" t="s">
        <v>457</v>
      </c>
    </row>
    <row r="2" spans="1:18" x14ac:dyDescent="0.3">
      <c r="A2" t="s">
        <v>387</v>
      </c>
      <c r="B2" t="s">
        <v>388</v>
      </c>
      <c r="C2" t="s">
        <v>180</v>
      </c>
      <c r="D2" t="s">
        <v>389</v>
      </c>
      <c r="E2" t="s">
        <v>390</v>
      </c>
      <c r="F2" t="s">
        <v>391</v>
      </c>
      <c r="G2" t="s">
        <v>382</v>
      </c>
      <c r="H2" t="s">
        <v>383</v>
      </c>
      <c r="I2" t="s">
        <v>384</v>
      </c>
      <c r="J2" t="s">
        <v>392</v>
      </c>
      <c r="K2" t="s">
        <v>385</v>
      </c>
      <c r="L2" t="s">
        <v>386</v>
      </c>
      <c r="M2" t="s">
        <v>458</v>
      </c>
      <c r="N2" t="s">
        <v>459</v>
      </c>
      <c r="O2" t="s">
        <v>460</v>
      </c>
      <c r="P2" t="s">
        <v>461</v>
      </c>
      <c r="Q2" t="s">
        <v>462</v>
      </c>
      <c r="R2" t="s">
        <v>463</v>
      </c>
    </row>
    <row r="3" spans="1:18" x14ac:dyDescent="0.3">
      <c r="A3" s="20">
        <v>46139</v>
      </c>
      <c r="B3">
        <v>343.45019639264399</v>
      </c>
      <c r="C3">
        <v>350.46141126755776</v>
      </c>
      <c r="D3">
        <v>340.38402620694472</v>
      </c>
      <c r="E3">
        <v>348.08438110351563</v>
      </c>
      <c r="F3">
        <v>17443000</v>
      </c>
      <c r="G3">
        <v>348.08438110351563</v>
      </c>
      <c r="H3">
        <v>348.08438110351563</v>
      </c>
      <c r="K3">
        <v>0</v>
      </c>
      <c r="L3">
        <v>0</v>
      </c>
    </row>
    <row r="4" spans="1:18" x14ac:dyDescent="0.3">
      <c r="A4" s="20">
        <v>46140</v>
      </c>
      <c r="B4">
        <v>346.48641215757931</v>
      </c>
      <c r="C4">
        <v>349.46266806946812</v>
      </c>
      <c r="D4">
        <v>343.84969715649703</v>
      </c>
      <c r="E4">
        <v>347.065673828125</v>
      </c>
      <c r="F4">
        <v>18502300</v>
      </c>
      <c r="G4">
        <v>347.5325813293457</v>
      </c>
      <c r="H4">
        <v>347.55543694129352</v>
      </c>
      <c r="I4">
        <v>0</v>
      </c>
      <c r="K4">
        <v>-2.2855611947818488E-2</v>
      </c>
      <c r="L4">
        <v>-1.2697562193232493E-2</v>
      </c>
    </row>
    <row r="5" spans="1:18" x14ac:dyDescent="0.3">
      <c r="A5" s="20">
        <v>46141</v>
      </c>
      <c r="B5">
        <v>345.04818578926296</v>
      </c>
      <c r="C5">
        <v>352.95826928969313</v>
      </c>
      <c r="D5">
        <v>342.00197978251407</v>
      </c>
      <c r="E5">
        <v>346.87588500976563</v>
      </c>
      <c r="F5">
        <v>22232200</v>
      </c>
      <c r="G5">
        <v>347.27627260415164</v>
      </c>
      <c r="H5">
        <v>347.31128053021229</v>
      </c>
      <c r="I5">
        <v>0</v>
      </c>
      <c r="K5">
        <v>-3.5007926060643513E-2</v>
      </c>
      <c r="L5">
        <v>-2.1841153942171433E-2</v>
      </c>
    </row>
    <row r="6" spans="1:18" x14ac:dyDescent="0.3">
      <c r="A6" s="20">
        <v>46142</v>
      </c>
      <c r="B6">
        <v>370.7909735772954</v>
      </c>
      <c r="C6">
        <v>382.15175597475582</v>
      </c>
      <c r="D6">
        <v>362.63617046940419</v>
      </c>
      <c r="E6">
        <v>381.46261596679688</v>
      </c>
      <c r="F6">
        <v>44570500</v>
      </c>
      <c r="G6">
        <v>358.06756518572229</v>
      </c>
      <c r="H6">
        <v>356.8585015192802</v>
      </c>
      <c r="I6">
        <v>97.041054946671792</v>
      </c>
      <c r="K6">
        <v>1.2090636664420913</v>
      </c>
      <c r="L6">
        <v>0.3951320236947739</v>
      </c>
    </row>
    <row r="7" spans="1:18" x14ac:dyDescent="0.3">
      <c r="A7" s="20">
        <v>46143</v>
      </c>
      <c r="B7">
        <v>377.5075868797166</v>
      </c>
      <c r="C7">
        <v>382.9108287658787</v>
      </c>
      <c r="D7">
        <v>374.79098529420401</v>
      </c>
      <c r="E7">
        <v>382.74102783203125</v>
      </c>
      <c r="F7">
        <v>28047900</v>
      </c>
      <c r="G7">
        <v>364.77125680434494</v>
      </c>
      <c r="H7">
        <v>362.86076612624731</v>
      </c>
      <c r="I7">
        <v>97.151101988250218</v>
      </c>
      <c r="K7">
        <v>1.9104906780976307</v>
      </c>
      <c r="L7">
        <v>0.84591696372418157</v>
      </c>
    </row>
    <row r="8" spans="1:18" x14ac:dyDescent="0.3">
      <c r="A8" s="20">
        <v>46146</v>
      </c>
      <c r="B8">
        <v>381.84217047140078</v>
      </c>
      <c r="C8">
        <v>383.69983114852914</v>
      </c>
      <c r="D8">
        <v>376.29908876692156</v>
      </c>
      <c r="E8">
        <v>379.16552734375</v>
      </c>
      <c r="F8">
        <v>18275000</v>
      </c>
      <c r="G8">
        <v>368.26982182517941</v>
      </c>
      <c r="H8">
        <v>366.12647975600277</v>
      </c>
      <c r="I8">
        <v>87.364595790778893</v>
      </c>
      <c r="K8">
        <v>2.1433420691766401</v>
      </c>
      <c r="L8">
        <v>1.1975913027422171</v>
      </c>
    </row>
    <row r="9" spans="1:18" x14ac:dyDescent="0.3">
      <c r="A9" s="20">
        <v>46147</v>
      </c>
      <c r="B9">
        <v>381.3927091412445</v>
      </c>
      <c r="C9">
        <v>388.4738439402218</v>
      </c>
      <c r="D9">
        <v>379.87461990877847</v>
      </c>
      <c r="E9">
        <v>383.78970336914063</v>
      </c>
      <c r="F9">
        <v>15432500</v>
      </c>
      <c r="G9">
        <v>371.73302909179222</v>
      </c>
      <c r="H9">
        <v>369.26779251187543</v>
      </c>
      <c r="I9">
        <v>88.919242130586895</v>
      </c>
      <c r="K9">
        <v>2.465236579916791</v>
      </c>
      <c r="L9">
        <v>1.5183985046963921</v>
      </c>
    </row>
    <row r="10" spans="1:18" x14ac:dyDescent="0.3">
      <c r="A10" s="20">
        <v>46148</v>
      </c>
      <c r="B10">
        <v>389.10303697562472</v>
      </c>
      <c r="C10">
        <v>395.88455850018698</v>
      </c>
      <c r="D10">
        <v>386.61615904923497</v>
      </c>
      <c r="E10">
        <v>394.6461181640625</v>
      </c>
      <c r="F10">
        <v>23097300</v>
      </c>
      <c r="G10">
        <v>376.51463761930108</v>
      </c>
      <c r="H10">
        <v>373.35686960686303</v>
      </c>
      <c r="I10">
        <v>91.548406893807496</v>
      </c>
      <c r="K10">
        <v>3.1577680124380549</v>
      </c>
      <c r="L10">
        <v>1.9123698257571398</v>
      </c>
    </row>
    <row r="11" spans="1:18" x14ac:dyDescent="0.3">
      <c r="A11" s="20">
        <v>46149</v>
      </c>
      <c r="B11">
        <v>396.56371815865646</v>
      </c>
      <c r="C11">
        <v>396.85836285348449</v>
      </c>
      <c r="D11">
        <v>389.8221548835096</v>
      </c>
      <c r="E11">
        <v>394.805908203125</v>
      </c>
      <c r="F11">
        <v>15153600</v>
      </c>
      <c r="G11">
        <v>380.13330198150152</v>
      </c>
      <c r="H11">
        <v>376.53608799622276</v>
      </c>
      <c r="I11">
        <v>91.580073723404652</v>
      </c>
      <c r="K11">
        <v>3.5972139852787564</v>
      </c>
      <c r="L11">
        <v>2.3015771851616105</v>
      </c>
    </row>
    <row r="12" spans="1:18" x14ac:dyDescent="0.3">
      <c r="A12" s="20">
        <v>46150</v>
      </c>
      <c r="B12">
        <v>393.77721721111931</v>
      </c>
      <c r="C12">
        <v>397.87209899004927</v>
      </c>
      <c r="D12">
        <v>393.17799149471085</v>
      </c>
      <c r="E12">
        <v>396.55374145507813</v>
      </c>
      <c r="F12">
        <v>13762500</v>
      </c>
      <c r="G12">
        <v>383.24496888003245</v>
      </c>
      <c r="H12">
        <v>379.29832934797133</v>
      </c>
      <c r="I12">
        <v>91.935993289465088</v>
      </c>
      <c r="K12">
        <v>3.9466395320611127</v>
      </c>
      <c r="L12">
        <v>2.6701666466052818</v>
      </c>
    </row>
    <row r="13" spans="1:18" x14ac:dyDescent="0.3">
      <c r="A13" s="20">
        <v>46153</v>
      </c>
      <c r="B13">
        <v>390.20167380939068</v>
      </c>
      <c r="C13">
        <v>393.83710827565648</v>
      </c>
      <c r="D13">
        <v>385.74725695697055</v>
      </c>
      <c r="E13">
        <v>386.28656005859375</v>
      </c>
      <c r="F13">
        <v>16314900</v>
      </c>
      <c r="G13">
        <v>383.80150672776591</v>
      </c>
      <c r="H13">
        <v>380.20470508501376</v>
      </c>
      <c r="I13">
        <v>72.538413457676668</v>
      </c>
      <c r="K13">
        <v>3.5968016427521547</v>
      </c>
      <c r="L13">
        <v>2.8729090890290845</v>
      </c>
    </row>
    <row r="14" spans="1:18" x14ac:dyDescent="0.3">
      <c r="A14" s="20">
        <v>46154</v>
      </c>
      <c r="B14">
        <v>384.51878879994888</v>
      </c>
      <c r="C14">
        <v>385.95699138342547</v>
      </c>
      <c r="D14">
        <v>379.24538948701269</v>
      </c>
      <c r="E14">
        <v>383.34027099609375</v>
      </c>
      <c r="F14">
        <v>17103900</v>
      </c>
      <c r="G14">
        <v>383.71950052884671</v>
      </c>
      <c r="H14">
        <v>380.58995876245683</v>
      </c>
      <c r="I14">
        <v>68.098175419071481</v>
      </c>
      <c r="K14">
        <v>3.1295417663898775</v>
      </c>
      <c r="L14">
        <v>2.9280230253672639</v>
      </c>
    </row>
    <row r="15" spans="1:18" x14ac:dyDescent="0.3">
      <c r="A15" s="20">
        <v>46155</v>
      </c>
      <c r="B15">
        <v>381.42766656230162</v>
      </c>
      <c r="C15">
        <v>399.4301315305828</v>
      </c>
      <c r="D15">
        <v>381.10306057880194</v>
      </c>
      <c r="E15">
        <v>398.541259765625</v>
      </c>
      <c r="F15">
        <v>18160100</v>
      </c>
      <c r="G15">
        <v>386.29312100332231</v>
      </c>
      <c r="H15">
        <v>382.69295043703789</v>
      </c>
      <c r="I15">
        <v>76.19462193806676</v>
      </c>
      <c r="K15">
        <v>3.6001705662844188</v>
      </c>
      <c r="L15">
        <v>3.0702727974747268</v>
      </c>
    </row>
    <row r="16" spans="1:18" x14ac:dyDescent="0.3">
      <c r="A16" s="20">
        <v>46156</v>
      </c>
      <c r="B16">
        <v>393.29780382620385</v>
      </c>
      <c r="C16">
        <v>398.60515713584113</v>
      </c>
      <c r="D16">
        <v>392.23711953366563</v>
      </c>
      <c r="E16">
        <v>396.673583984375</v>
      </c>
      <c r="F16">
        <v>13805400</v>
      </c>
      <c r="G16">
        <v>388.06058241941349</v>
      </c>
      <c r="H16">
        <v>384.2631419646595</v>
      </c>
      <c r="I16">
        <v>73.719064117845477</v>
      </c>
      <c r="K16">
        <v>3.7974404547539962</v>
      </c>
      <c r="L16">
        <v>3.22239681392879</v>
      </c>
      <c r="P16">
        <v>95.331533670004376</v>
      </c>
      <c r="R16">
        <v>-4.6684663299956259</v>
      </c>
    </row>
    <row r="17" spans="1:18" x14ac:dyDescent="0.3">
      <c r="A17" s="20">
        <v>46157</v>
      </c>
      <c r="B17">
        <v>392.72351992430288</v>
      </c>
      <c r="C17">
        <v>395.38519749544696</v>
      </c>
      <c r="D17">
        <v>389.27285171330357</v>
      </c>
      <c r="E17">
        <v>392.82839965820313</v>
      </c>
      <c r="F17">
        <v>15801900</v>
      </c>
      <c r="G17">
        <v>388.85927342909349</v>
      </c>
      <c r="H17">
        <v>385.18969303743398</v>
      </c>
      <c r="I17">
        <v>68.76547944702142</v>
      </c>
      <c r="J17">
        <v>12.85435974255369</v>
      </c>
      <c r="K17">
        <v>3.6695803916595082</v>
      </c>
      <c r="L17">
        <v>3.3150950590222847</v>
      </c>
      <c r="P17">
        <v>88.504362979779017</v>
      </c>
      <c r="R17">
        <v>-11.495637020220984</v>
      </c>
    </row>
    <row r="18" spans="1:18" x14ac:dyDescent="0.3">
      <c r="A18" s="20">
        <v>46160</v>
      </c>
      <c r="B18">
        <v>391.63489808738598</v>
      </c>
      <c r="C18">
        <v>403.96446976722967</v>
      </c>
      <c r="D18">
        <v>390.41142307174869</v>
      </c>
      <c r="E18">
        <v>392.61865234375</v>
      </c>
      <c r="F18">
        <v>18592800</v>
      </c>
      <c r="G18">
        <v>389.48054043576991</v>
      </c>
      <c r="H18">
        <v>385.9668232083186</v>
      </c>
      <c r="I18">
        <v>68.495106489431237</v>
      </c>
      <c r="J18">
        <v>13.125175420887025</v>
      </c>
      <c r="K18">
        <v>3.5137172274513091</v>
      </c>
      <c r="L18">
        <v>3.3559700205937268</v>
      </c>
      <c r="P18">
        <v>81.68921644969663</v>
      </c>
      <c r="Q18">
        <v>88.508371033160003</v>
      </c>
      <c r="R18">
        <v>-18.310783550303363</v>
      </c>
    </row>
    <row r="19" spans="1:18" x14ac:dyDescent="0.3">
      <c r="A19" s="20">
        <v>46161</v>
      </c>
      <c r="B19">
        <v>392.80840970054908</v>
      </c>
      <c r="C19">
        <v>392.87134973339226</v>
      </c>
      <c r="D19">
        <v>382.5212956642759</v>
      </c>
      <c r="E19">
        <v>384.41891479492188</v>
      </c>
      <c r="F19">
        <v>25559400</v>
      </c>
      <c r="G19">
        <v>388.65350479794</v>
      </c>
      <c r="H19">
        <v>385.80969698667718</v>
      </c>
      <c r="I19">
        <v>58.767265060188372</v>
      </c>
      <c r="J19">
        <v>10.823188179858434</v>
      </c>
      <c r="K19">
        <v>2.8438078112628205</v>
      </c>
      <c r="L19">
        <v>3.2511778692590343</v>
      </c>
      <c r="P19">
        <v>52.70660708427409</v>
      </c>
      <c r="Q19">
        <v>74.300062171249905</v>
      </c>
      <c r="R19">
        <v>-47.29339291572591</v>
      </c>
    </row>
    <row r="20" spans="1:18" x14ac:dyDescent="0.3">
      <c r="A20" s="20">
        <v>46162</v>
      </c>
      <c r="B20">
        <v>384.55875444174251</v>
      </c>
      <c r="C20">
        <v>390.21168377410442</v>
      </c>
      <c r="D20">
        <v>379.52504530659229</v>
      </c>
      <c r="E20">
        <v>384.41891479492188</v>
      </c>
      <c r="F20">
        <v>16488100</v>
      </c>
      <c r="G20">
        <v>387.96814445396194</v>
      </c>
      <c r="H20">
        <v>385.67229015815184</v>
      </c>
      <c r="I20">
        <v>58.767265060188372</v>
      </c>
      <c r="J20">
        <v>0.77499044582189924</v>
      </c>
      <c r="K20">
        <v>2.295854295810102</v>
      </c>
      <c r="L20">
        <v>3.0566080971566976</v>
      </c>
      <c r="P20">
        <v>33.002329597001093</v>
      </c>
      <c r="Q20">
        <v>55.799384376990609</v>
      </c>
      <c r="R20">
        <v>-66.997670402998892</v>
      </c>
    </row>
    <row r="21" spans="1:18" x14ac:dyDescent="0.3">
      <c r="A21" s="20">
        <v>46163</v>
      </c>
      <c r="B21">
        <v>381.5325559660987</v>
      </c>
      <c r="C21">
        <v>388.19420242275419</v>
      </c>
      <c r="D21">
        <v>379.00571929643007</v>
      </c>
      <c r="E21">
        <v>382.99072265625</v>
      </c>
      <c r="F21">
        <v>16837600</v>
      </c>
      <c r="G21">
        <v>387.16895328010247</v>
      </c>
      <c r="H21">
        <v>385.41374824897679</v>
      </c>
      <c r="I21">
        <v>57.128319825706235</v>
      </c>
      <c r="J21">
        <v>6.5238583287796637E-2</v>
      </c>
      <c r="K21">
        <v>1.7552050311256835</v>
      </c>
      <c r="L21">
        <v>2.7925215963776884</v>
      </c>
      <c r="P21">
        <v>24.187752517320895</v>
      </c>
      <c r="Q21">
        <v>36.632229732865362</v>
      </c>
      <c r="R21">
        <v>-75.812247482679112</v>
      </c>
    </row>
    <row r="22" spans="1:18" x14ac:dyDescent="0.3">
      <c r="A22" s="20">
        <v>46164</v>
      </c>
      <c r="B22">
        <v>382.78097806913001</v>
      </c>
      <c r="C22">
        <v>384.38895112096219</v>
      </c>
      <c r="D22">
        <v>377.78722750403438</v>
      </c>
      <c r="E22">
        <v>378.90582275390625</v>
      </c>
      <c r="F22">
        <v>13382800</v>
      </c>
      <c r="G22">
        <v>385.85105045360586</v>
      </c>
      <c r="H22">
        <v>384.80000140959766</v>
      </c>
      <c r="I22">
        <v>52.609044119139469</v>
      </c>
      <c r="J22">
        <v>-6.8493724011020607E-2</v>
      </c>
      <c r="K22">
        <v>1.0510490440082094</v>
      </c>
      <c r="L22">
        <v>2.4401646873263716</v>
      </c>
      <c r="M22">
        <v>413.97091199640107</v>
      </c>
      <c r="N22">
        <v>381.81068420410156</v>
      </c>
      <c r="O22">
        <v>349.65045641180205</v>
      </c>
      <c r="P22">
        <v>4.2731592527017144</v>
      </c>
      <c r="Q22">
        <v>20.487747122341236</v>
      </c>
      <c r="R22">
        <v>-95.726840747298283</v>
      </c>
    </row>
    <row r="23" spans="1:18" x14ac:dyDescent="0.3">
      <c r="A23" s="20">
        <v>46168</v>
      </c>
      <c r="B23">
        <v>380.51878298329893</v>
      </c>
      <c r="C23">
        <v>384.90830910477644</v>
      </c>
      <c r="D23">
        <v>378.66612108623275</v>
      </c>
      <c r="E23">
        <v>384.35897827148438</v>
      </c>
      <c r="F23">
        <v>16150900</v>
      </c>
      <c r="G23">
        <v>385.61441295490346</v>
      </c>
      <c r="H23">
        <v>384.75923443522549</v>
      </c>
      <c r="I23">
        <v>57.448368659206245</v>
      </c>
      <c r="J23">
        <v>0.14832990498345744</v>
      </c>
      <c r="K23">
        <v>0.85517851967796332</v>
      </c>
      <c r="L23">
        <v>2.1202164521915061</v>
      </c>
      <c r="M23">
        <v>411.5945829729892</v>
      </c>
      <c r="N23">
        <v>383.62441406250002</v>
      </c>
      <c r="O23">
        <v>355.65424515201084</v>
      </c>
      <c r="P23">
        <v>25.104824646443962</v>
      </c>
      <c r="Q23">
        <v>17.855245472155524</v>
      </c>
      <c r="R23">
        <v>-74.895175353556027</v>
      </c>
    </row>
    <row r="24" spans="1:18" x14ac:dyDescent="0.3">
      <c r="A24" s="20">
        <v>46169</v>
      </c>
      <c r="B24">
        <v>382.2866080465696</v>
      </c>
      <c r="C24">
        <v>389.23790041543651</v>
      </c>
      <c r="D24">
        <v>381.52254956717661</v>
      </c>
      <c r="E24">
        <v>384.3489990234375</v>
      </c>
      <c r="F24">
        <v>16893100</v>
      </c>
      <c r="G24">
        <v>385.41467152321763</v>
      </c>
      <c r="H24">
        <v>384.72199718899219</v>
      </c>
      <c r="I24">
        <v>57.436809820396945</v>
      </c>
      <c r="J24">
        <v>-2.6092031991923115</v>
      </c>
      <c r="K24">
        <v>0.692674334225444</v>
      </c>
      <c r="L24">
        <v>1.8325856881615796</v>
      </c>
      <c r="M24">
        <v>407.54377603973916</v>
      </c>
      <c r="N24">
        <v>385.48858032226565</v>
      </c>
      <c r="O24">
        <v>363.43338460479214</v>
      </c>
      <c r="P24">
        <v>25.066702800198509</v>
      </c>
      <c r="Q24">
        <v>18.148228899781397</v>
      </c>
      <c r="R24">
        <v>-74.933297199801487</v>
      </c>
    </row>
    <row r="25" spans="1:18" x14ac:dyDescent="0.3">
      <c r="A25" s="20">
        <v>46170</v>
      </c>
      <c r="B25">
        <v>383.38020511983143</v>
      </c>
      <c r="C25">
        <v>389.51254546575427</v>
      </c>
      <c r="D25">
        <v>380.7734819456893</v>
      </c>
      <c r="E25">
        <v>385.63739013671875</v>
      </c>
      <c r="F25">
        <v>20795400</v>
      </c>
      <c r="G25">
        <v>385.44968684372128</v>
      </c>
      <c r="H25">
        <v>384.80372327570069</v>
      </c>
      <c r="I25">
        <v>58.595114162943133</v>
      </c>
      <c r="J25">
        <v>-2.322284919223927</v>
      </c>
      <c r="K25">
        <v>0.64596356802059063</v>
      </c>
      <c r="L25">
        <v>1.5938520293474863</v>
      </c>
      <c r="M25">
        <v>399.94619455806776</v>
      </c>
      <c r="N25">
        <v>387.42665557861329</v>
      </c>
      <c r="O25">
        <v>374.90711659915883</v>
      </c>
      <c r="P25">
        <v>29.988501285796449</v>
      </c>
      <c r="Q25">
        <v>26.72000957747964</v>
      </c>
      <c r="R25">
        <v>-70.01149871420354</v>
      </c>
    </row>
    <row r="26" spans="1:18" x14ac:dyDescent="0.3">
      <c r="A26" s="20">
        <v>46171</v>
      </c>
      <c r="B26">
        <v>380.74852344606649</v>
      </c>
      <c r="C26">
        <v>381.17298005847329</v>
      </c>
      <c r="D26">
        <v>373.83216052557708</v>
      </c>
      <c r="E26">
        <v>375.95950317382813</v>
      </c>
      <c r="F26">
        <v>48018600</v>
      </c>
      <c r="G26">
        <v>383.96267507986482</v>
      </c>
      <c r="H26">
        <v>384.02593994491457</v>
      </c>
      <c r="I26">
        <v>48.023130403968601</v>
      </c>
      <c r="J26">
        <v>-5.1933032344325891</v>
      </c>
      <c r="K26">
        <v>-6.3264865049745822E-2</v>
      </c>
      <c r="L26">
        <v>1.2608561217550931</v>
      </c>
      <c r="M26">
        <v>400.44115694209108</v>
      </c>
      <c r="N26">
        <v>387.15149993896483</v>
      </c>
      <c r="O26">
        <v>373.86184293583858</v>
      </c>
      <c r="P26">
        <v>7.0600053623184289</v>
      </c>
      <c r="Q26">
        <v>20.705069816104462</v>
      </c>
      <c r="R26">
        <v>-92.939994637681565</v>
      </c>
    </row>
    <row r="27" spans="1:18" x14ac:dyDescent="0.3">
      <c r="A27" s="20">
        <v>46174</v>
      </c>
      <c r="B27">
        <v>372.10935069961397</v>
      </c>
      <c r="C27">
        <v>374.13181366493154</v>
      </c>
      <c r="D27">
        <v>369.24791078330043</v>
      </c>
      <c r="E27">
        <v>372.11431884765625</v>
      </c>
      <c r="F27">
        <v>19091900</v>
      </c>
      <c r="G27">
        <v>382.11142619747409</v>
      </c>
      <c r="H27">
        <v>382.99273057369152</v>
      </c>
      <c r="I27">
        <v>44.58144974537182</v>
      </c>
      <c r="J27">
        <v>-3.6688413929772179</v>
      </c>
      <c r="K27">
        <v>-0.88130437621742885</v>
      </c>
      <c r="L27">
        <v>0.8307993134748668</v>
      </c>
      <c r="M27">
        <v>401.41660342308671</v>
      </c>
      <c r="N27">
        <v>386.62016448974612</v>
      </c>
      <c r="O27">
        <v>371.82372555640552</v>
      </c>
      <c r="P27">
        <v>8.256601887539377</v>
      </c>
      <c r="Q27">
        <v>15.101702845218085</v>
      </c>
      <c r="R27">
        <v>-91.743398112460611</v>
      </c>
    </row>
    <row r="28" spans="1:18" x14ac:dyDescent="0.3">
      <c r="A28" s="20">
        <v>46175</v>
      </c>
      <c r="B28">
        <v>362.70610483634061</v>
      </c>
      <c r="C28">
        <v>369.32782314739188</v>
      </c>
      <c r="D28">
        <v>354.55630002884948</v>
      </c>
      <c r="E28">
        <v>357.94207763671875</v>
      </c>
      <c r="F28">
        <v>34648600</v>
      </c>
      <c r="G28">
        <v>378.34411928038395</v>
      </c>
      <c r="H28">
        <v>380.84702323572486</v>
      </c>
      <c r="I28">
        <v>34.708233115634087</v>
      </c>
      <c r="J28">
        <v>-6.6254957490844539</v>
      </c>
      <c r="K28">
        <v>-2.502903955340912</v>
      </c>
      <c r="L28">
        <v>0.16203745100492747</v>
      </c>
      <c r="M28">
        <v>404.94036496082026</v>
      </c>
      <c r="N28">
        <v>385.55899200439455</v>
      </c>
      <c r="O28">
        <v>366.17761904796885</v>
      </c>
      <c r="P28">
        <v>6.8526675361528424</v>
      </c>
      <c r="Q28">
        <v>7.38975826200355</v>
      </c>
      <c r="R28">
        <v>-93.14733246384715</v>
      </c>
    </row>
    <row r="29" spans="1:18" x14ac:dyDescent="0.3">
      <c r="A29" s="20">
        <v>46176</v>
      </c>
      <c r="B29">
        <v>357.88709277711888</v>
      </c>
      <c r="C29">
        <v>362.04689529453736</v>
      </c>
      <c r="D29">
        <v>353.93704971664897</v>
      </c>
      <c r="E29">
        <v>355.23541259765625</v>
      </c>
      <c r="F29">
        <v>43031000</v>
      </c>
      <c r="G29">
        <v>374.74941562566755</v>
      </c>
      <c r="H29">
        <v>378.6783815378908</v>
      </c>
      <c r="I29">
        <v>33.196159342234949</v>
      </c>
      <c r="J29">
        <v>-10.866088794278451</v>
      </c>
      <c r="K29">
        <v>-3.9289659122232479</v>
      </c>
      <c r="L29">
        <v>-0.65814630427788712</v>
      </c>
      <c r="M29">
        <v>407.79515352706886</v>
      </c>
      <c r="N29">
        <v>384.13127746582029</v>
      </c>
      <c r="O29">
        <v>360.46740140457172</v>
      </c>
      <c r="P29">
        <v>2.5953024955005803</v>
      </c>
      <c r="Q29">
        <v>5.9015239730642675</v>
      </c>
      <c r="R29">
        <v>-97.40469750449941</v>
      </c>
    </row>
    <row r="30" spans="1:18" x14ac:dyDescent="0.3">
      <c r="A30" s="20">
        <v>46177</v>
      </c>
      <c r="B30">
        <v>354.99574058865079</v>
      </c>
      <c r="C30">
        <v>369.39770006790349</v>
      </c>
      <c r="D30">
        <v>354.35652588982941</v>
      </c>
      <c r="E30">
        <v>368.80844116210938</v>
      </c>
      <c r="F30">
        <v>37746200</v>
      </c>
      <c r="G30">
        <v>373.82683763538591</v>
      </c>
      <c r="H30">
        <v>377.85141847827896</v>
      </c>
      <c r="I30">
        <v>45.919664857679265</v>
      </c>
      <c r="J30">
        <v>-7.0247034204735996</v>
      </c>
      <c r="K30">
        <v>-4.0245808428930445</v>
      </c>
      <c r="L30">
        <v>-1.3327380622311404</v>
      </c>
      <c r="M30">
        <v>406.90399331380803</v>
      </c>
      <c r="N30">
        <v>382.83939361572266</v>
      </c>
      <c r="O30">
        <v>358.77479391763728</v>
      </c>
      <c r="P30">
        <v>29.726480858746147</v>
      </c>
      <c r="Q30">
        <v>13.058150296799857</v>
      </c>
      <c r="R30">
        <v>-70.273519141253857</v>
      </c>
    </row>
    <row r="31" spans="1:18" x14ac:dyDescent="0.3">
      <c r="A31" s="20">
        <v>46178</v>
      </c>
      <c r="B31">
        <v>362.92582626477878</v>
      </c>
      <c r="C31">
        <v>368.73855932280804</v>
      </c>
      <c r="D31">
        <v>361.17801354137868</v>
      </c>
      <c r="E31">
        <v>365.3028564453125</v>
      </c>
      <c r="F31">
        <v>23411500</v>
      </c>
      <c r="G31">
        <v>372.50505212232872</v>
      </c>
      <c r="H31">
        <v>376.8101372317999</v>
      </c>
      <c r="I31">
        <v>43.609440023164481</v>
      </c>
      <c r="J31">
        <v>-7.0070145734983491</v>
      </c>
      <c r="K31">
        <v>-4.3050851094711788</v>
      </c>
      <c r="L31">
        <v>-1.9281287942118208</v>
      </c>
      <c r="M31">
        <v>405.95161354598554</v>
      </c>
      <c r="N31">
        <v>381.36424102783201</v>
      </c>
      <c r="O31">
        <v>356.77686850967848</v>
      </c>
      <c r="P31">
        <v>22.71915425015326</v>
      </c>
      <c r="Q31">
        <v>18.346979201466663</v>
      </c>
      <c r="R31">
        <v>-77.280845749846733</v>
      </c>
    </row>
    <row r="32" spans="1:18" x14ac:dyDescent="0.3">
      <c r="A32" s="20">
        <v>46181</v>
      </c>
      <c r="B32">
        <v>362.24981828077506</v>
      </c>
      <c r="C32">
        <v>363.14425715591528</v>
      </c>
      <c r="D32">
        <v>357.65782862747085</v>
      </c>
      <c r="E32">
        <v>360.93569946289063</v>
      </c>
      <c r="F32">
        <v>18739000</v>
      </c>
      <c r="G32">
        <v>370.71321793935022</v>
      </c>
      <c r="H32">
        <v>375.50450245080157</v>
      </c>
      <c r="I32">
        <v>40.852084417518462</v>
      </c>
      <c r="J32">
        <v>-8.0696504589700346</v>
      </c>
      <c r="K32">
        <v>-4.7912845114513516</v>
      </c>
      <c r="L32">
        <v>-2.5014696993223233</v>
      </c>
      <c r="M32">
        <v>404.69249790455513</v>
      </c>
      <c r="N32">
        <v>379.58333892822264</v>
      </c>
      <c r="O32">
        <v>354.47417995189016</v>
      </c>
      <c r="P32">
        <v>17.975537619096674</v>
      </c>
      <c r="Q32">
        <v>23.473724242665359</v>
      </c>
      <c r="R32">
        <v>-82.02446238090333</v>
      </c>
    </row>
    <row r="33" spans="1:18" x14ac:dyDescent="0.3">
      <c r="A33" s="20">
        <v>46182</v>
      </c>
      <c r="B33">
        <v>364.6482797949098</v>
      </c>
      <c r="C33">
        <v>369.4521374448322</v>
      </c>
      <c r="D33">
        <v>354.48986610072376</v>
      </c>
      <c r="E33">
        <v>362.05496215820313</v>
      </c>
      <c r="F33">
        <v>19873600</v>
      </c>
      <c r="G33">
        <v>369.37362939165143</v>
      </c>
      <c r="H33">
        <v>374.40727794322868</v>
      </c>
      <c r="I33">
        <v>41.866593525396134</v>
      </c>
      <c r="J33">
        <v>-5.8175994406126863</v>
      </c>
      <c r="K33">
        <v>-5.0336485515772438</v>
      </c>
      <c r="L33">
        <v>-3.008407516670526</v>
      </c>
      <c r="M33">
        <v>404.43921871682846</v>
      </c>
      <c r="N33">
        <v>378.37175903320315</v>
      </c>
      <c r="O33">
        <v>352.30429934957783</v>
      </c>
      <c r="P33">
        <v>22.37903331759648</v>
      </c>
      <c r="Q33">
        <v>21.024575062282139</v>
      </c>
      <c r="R33">
        <v>-77.62096668240352</v>
      </c>
    </row>
    <row r="34" spans="1:18" x14ac:dyDescent="0.3">
      <c r="A34" s="20">
        <v>46183</v>
      </c>
      <c r="B34">
        <v>360.81572422790032</v>
      </c>
      <c r="C34">
        <v>366.07232109037716</v>
      </c>
      <c r="D34">
        <v>352.58108042630113</v>
      </c>
      <c r="E34">
        <v>353.09075927734375</v>
      </c>
      <c r="F34">
        <v>19878600</v>
      </c>
      <c r="G34">
        <v>366.85656993965364</v>
      </c>
      <c r="H34">
        <v>372.68121600573153</v>
      </c>
      <c r="I34">
        <v>36.471115976301455</v>
      </c>
      <c r="J34">
        <v>-8.1494833661582273</v>
      </c>
      <c r="K34">
        <v>-5.8246460660778894</v>
      </c>
      <c r="L34">
        <v>-3.5721018311995971</v>
      </c>
      <c r="M34">
        <v>405.13006191761156</v>
      </c>
      <c r="N34">
        <v>376.85928344726563</v>
      </c>
      <c r="O34">
        <v>348.58850497691969</v>
      </c>
      <c r="P34">
        <v>1.3800667005712948</v>
      </c>
      <c r="Q34">
        <v>13.91154587908815</v>
      </c>
      <c r="R34">
        <v>-98.619933299428709</v>
      </c>
    </row>
    <row r="35" spans="1:18" x14ac:dyDescent="0.3">
      <c r="A35" s="20">
        <v>46184</v>
      </c>
      <c r="B35">
        <v>352.82094171828368</v>
      </c>
      <c r="C35">
        <v>357.7777458079135</v>
      </c>
      <c r="D35">
        <v>343.40707015265019</v>
      </c>
      <c r="E35">
        <v>356.32867431640625</v>
      </c>
      <c r="F35">
        <v>28771800</v>
      </c>
      <c r="G35">
        <v>365.23033205507886</v>
      </c>
      <c r="H35">
        <v>371.36617439496297</v>
      </c>
      <c r="I35">
        <v>39.503810981488009</v>
      </c>
      <c r="J35">
        <v>-6.961538951891022</v>
      </c>
      <c r="K35">
        <v>-6.1358423398841069</v>
      </c>
      <c r="L35">
        <v>-4.085175131775217</v>
      </c>
      <c r="M35">
        <v>402.50199648074533</v>
      </c>
      <c r="N35">
        <v>374.7486541748047</v>
      </c>
      <c r="O35">
        <v>346.99531186886406</v>
      </c>
      <c r="P35">
        <v>28.026181437247832</v>
      </c>
      <c r="Q35">
        <v>17.261760485138534</v>
      </c>
      <c r="R35">
        <v>-71.973818562752172</v>
      </c>
    </row>
    <row r="36" spans="1:18" x14ac:dyDescent="0.3">
      <c r="A36" s="20">
        <v>46185</v>
      </c>
      <c r="B36">
        <v>360.86573789984163</v>
      </c>
      <c r="C36">
        <v>364.53635914225703</v>
      </c>
      <c r="D36">
        <v>353.11076253886233</v>
      </c>
      <c r="E36">
        <v>357.92764282226563</v>
      </c>
      <c r="F36">
        <v>17637100</v>
      </c>
      <c r="G36">
        <v>364.10299254448802</v>
      </c>
      <c r="H36">
        <v>370.2922850347494</v>
      </c>
      <c r="I36">
        <v>41.001621006791602</v>
      </c>
      <c r="J36">
        <v>-5.5365155856329062</v>
      </c>
      <c r="K36">
        <v>-6.18929249026138</v>
      </c>
      <c r="L36">
        <v>-4.5062120945758943</v>
      </c>
      <c r="M36">
        <v>399.50990634362279</v>
      </c>
      <c r="N36">
        <v>372.81135711669924</v>
      </c>
      <c r="O36">
        <v>346.1128078897757</v>
      </c>
      <c r="P36">
        <v>31.494247854524126</v>
      </c>
      <c r="Q36">
        <v>20.300165330781084</v>
      </c>
      <c r="R36">
        <v>-68.505752145475867</v>
      </c>
    </row>
    <row r="37" spans="1:18" x14ac:dyDescent="0.3">
      <c r="A37" s="20">
        <v>46188</v>
      </c>
      <c r="B37">
        <v>365.75252721660206</v>
      </c>
      <c r="C37">
        <v>370.40950735740762</v>
      </c>
      <c r="D37">
        <v>364.41340030023304</v>
      </c>
      <c r="E37">
        <v>366.87179565429688</v>
      </c>
      <c r="F37">
        <v>17268600</v>
      </c>
      <c r="G37">
        <v>364.53019638621788</v>
      </c>
      <c r="H37">
        <v>370.02053581693644</v>
      </c>
      <c r="I37">
        <v>48.658952163593348</v>
      </c>
      <c r="J37">
        <v>-4.5497005678987401</v>
      </c>
      <c r="K37">
        <v>-5.4903394307185636</v>
      </c>
      <c r="L37">
        <v>-4.7031174361002268</v>
      </c>
      <c r="M37">
        <v>396.58928016685013</v>
      </c>
      <c r="N37">
        <v>371.51352691650391</v>
      </c>
      <c r="O37">
        <v>346.43777366615768</v>
      </c>
      <c r="P37">
        <v>50.893576830727405</v>
      </c>
      <c r="Q37">
        <v>36.804668707499786</v>
      </c>
      <c r="R37">
        <v>-49.106423169272588</v>
      </c>
    </row>
    <row r="38" spans="1:18" x14ac:dyDescent="0.3">
      <c r="A38" s="20">
        <v>46189</v>
      </c>
      <c r="B38">
        <v>367.22660139667789</v>
      </c>
      <c r="C38">
        <v>373.35763104091177</v>
      </c>
      <c r="D38">
        <v>365.08300395644812</v>
      </c>
      <c r="E38">
        <v>370.8592529296875</v>
      </c>
      <c r="F38">
        <v>16492800</v>
      </c>
      <c r="G38">
        <v>365.50628336027393</v>
      </c>
      <c r="H38">
        <v>370.08681363048316</v>
      </c>
      <c r="I38">
        <v>51.670509143150639</v>
      </c>
      <c r="J38">
        <v>-3.5097648564260675</v>
      </c>
      <c r="K38">
        <v>-4.5805302702092376</v>
      </c>
      <c r="L38">
        <v>-4.6785920439772495</v>
      </c>
      <c r="M38">
        <v>393.45001459230849</v>
      </c>
      <c r="N38">
        <v>370.42555694580079</v>
      </c>
      <c r="O38">
        <v>347.40109929929309</v>
      </c>
      <c r="P38">
        <v>59.542131581137525</v>
      </c>
      <c r="Q38">
        <v>47.309985422129692</v>
      </c>
      <c r="R38">
        <v>-40.457868418862482</v>
      </c>
    </row>
    <row r="39" spans="1:18" x14ac:dyDescent="0.3">
      <c r="A39" s="20">
        <v>46190</v>
      </c>
      <c r="B39">
        <v>366.81185201275412</v>
      </c>
      <c r="C39">
        <v>369.90984688511139</v>
      </c>
      <c r="D39">
        <v>359.99629989090278</v>
      </c>
      <c r="E39">
        <v>361.86508178710938</v>
      </c>
      <c r="F39">
        <v>16003500</v>
      </c>
      <c r="G39">
        <v>364.94493743959396</v>
      </c>
      <c r="H39">
        <v>369.44030838539413</v>
      </c>
      <c r="I39">
        <v>45.226331472900164</v>
      </c>
      <c r="J39">
        <v>-6.1644199856195065</v>
      </c>
      <c r="K39">
        <v>-4.4953709458001754</v>
      </c>
      <c r="L39">
        <v>-4.6419383084880534</v>
      </c>
      <c r="M39">
        <v>391.6356112071457</v>
      </c>
      <c r="N39">
        <v>369.29786529541013</v>
      </c>
      <c r="O39">
        <v>346.96011938367457</v>
      </c>
      <c r="P39">
        <v>48.874796557233644</v>
      </c>
      <c r="Q39">
        <v>53.103501656366184</v>
      </c>
      <c r="R39">
        <v>-51.125203442766363</v>
      </c>
    </row>
    <row r="40" spans="1:18" x14ac:dyDescent="0.3">
      <c r="A40" s="20">
        <v>46191</v>
      </c>
      <c r="B40">
        <v>363.65392748320022</v>
      </c>
      <c r="C40">
        <v>368.76059754193386</v>
      </c>
      <c r="D40">
        <v>356.37663902016271</v>
      </c>
      <c r="E40">
        <v>367.22158813476563</v>
      </c>
      <c r="F40">
        <v>29339100</v>
      </c>
      <c r="G40">
        <v>365.295805463487</v>
      </c>
      <c r="H40">
        <v>369.26663408029026</v>
      </c>
      <c r="I40">
        <v>49.283120729436376</v>
      </c>
      <c r="J40">
        <v>-2.3241638967222644</v>
      </c>
      <c r="K40">
        <v>-3.97082861680326</v>
      </c>
      <c r="L40">
        <v>-4.5076884875541552</v>
      </c>
      <c r="M40">
        <v>389.61896422866414</v>
      </c>
      <c r="N40">
        <v>368.43799896240233</v>
      </c>
      <c r="O40">
        <v>347.25703369614052</v>
      </c>
      <c r="P40">
        <v>77.509249092986735</v>
      </c>
      <c r="Q40">
        <v>61.975392410452635</v>
      </c>
      <c r="R40">
        <v>-22.490750907013265</v>
      </c>
    </row>
    <row r="41" spans="1:18" x14ac:dyDescent="0.3">
      <c r="A41" s="20">
        <v>46195</v>
      </c>
      <c r="B41">
        <v>356.90330120758608</v>
      </c>
      <c r="C41">
        <v>357.96761267730585</v>
      </c>
      <c r="D41">
        <v>340.71880117526513</v>
      </c>
      <c r="E41">
        <v>348.5537109375</v>
      </c>
      <c r="F41">
        <v>32211200</v>
      </c>
      <c r="G41">
        <v>362.7162786074237</v>
      </c>
      <c r="H41">
        <v>367.65207841252806</v>
      </c>
      <c r="I41">
        <v>38.563391138142542</v>
      </c>
      <c r="J41">
        <v>-6.3315510091408118</v>
      </c>
      <c r="K41">
        <v>-4.9357998051043523</v>
      </c>
      <c r="L41">
        <v>-4.5933249798670754</v>
      </c>
      <c r="M41">
        <v>388.5061310106563</v>
      </c>
      <c r="N41">
        <v>366.71614837646484</v>
      </c>
      <c r="O41">
        <v>344.92616574227338</v>
      </c>
      <c r="P41">
        <v>24.004873319559021</v>
      </c>
      <c r="Q41">
        <v>50.129639656593135</v>
      </c>
      <c r="R41">
        <v>-75.99512668044099</v>
      </c>
    </row>
    <row r="42" spans="1:18" x14ac:dyDescent="0.3">
      <c r="A42" s="20">
        <v>46196</v>
      </c>
      <c r="B42">
        <v>339.88433941168455</v>
      </c>
      <c r="C42">
        <v>348.49373995052684</v>
      </c>
      <c r="D42">
        <v>339.49457781787379</v>
      </c>
      <c r="E42">
        <v>345.85543823242188</v>
      </c>
      <c r="F42">
        <v>21820900</v>
      </c>
      <c r="G42">
        <v>360.11904866932355</v>
      </c>
      <c r="H42">
        <v>365.95960640727446</v>
      </c>
      <c r="I42">
        <v>37.300471997881999</v>
      </c>
      <c r="J42">
        <v>-3.3767025894518632</v>
      </c>
      <c r="K42">
        <v>-5.8405577379509168</v>
      </c>
      <c r="L42">
        <v>-4.8428046930257542</v>
      </c>
      <c r="M42">
        <v>387.94676727999007</v>
      </c>
      <c r="N42">
        <v>365.06362915039063</v>
      </c>
      <c r="O42">
        <v>342.18049102079118</v>
      </c>
      <c r="P42">
        <v>18.784072341771633</v>
      </c>
      <c r="Q42">
        <v>40.099398251439133</v>
      </c>
      <c r="R42">
        <v>-81.215927658228367</v>
      </c>
    </row>
    <row r="43" spans="1:18" x14ac:dyDescent="0.3">
      <c r="A43" s="20">
        <v>46197</v>
      </c>
      <c r="B43">
        <v>348.49376737145667</v>
      </c>
      <c r="C43">
        <v>352.6010863494152</v>
      </c>
      <c r="D43">
        <v>341.27845016274597</v>
      </c>
      <c r="E43">
        <v>344.816162109375</v>
      </c>
      <c r="F43">
        <v>23898400</v>
      </c>
      <c r="G43">
        <v>357.76225956102212</v>
      </c>
      <c r="H43">
        <v>364.3237010419129</v>
      </c>
      <c r="I43">
        <v>36.800570234163096</v>
      </c>
      <c r="J43">
        <v>-2.9330551287357731</v>
      </c>
      <c r="K43">
        <v>-6.5614414808907782</v>
      </c>
      <c r="L43">
        <v>-5.1865686058481089</v>
      </c>
      <c r="M43">
        <v>385.78241080935152</v>
      </c>
      <c r="N43">
        <v>363.08648834228518</v>
      </c>
      <c r="O43">
        <v>340.39056587521884</v>
      </c>
      <c r="P43">
        <v>15.715016175448667</v>
      </c>
      <c r="Q43">
        <v>19.501320612259779</v>
      </c>
      <c r="R43">
        <v>-84.284983824551333</v>
      </c>
    </row>
    <row r="44" spans="1:18" x14ac:dyDescent="0.3">
      <c r="A44" s="20">
        <v>46198</v>
      </c>
      <c r="B44">
        <v>336.70141725436105</v>
      </c>
      <c r="C44">
        <v>342.96733825321974</v>
      </c>
      <c r="D44">
        <v>335.68205951925677</v>
      </c>
      <c r="E44">
        <v>341.96798706054688</v>
      </c>
      <c r="F44">
        <v>27687600</v>
      </c>
      <c r="G44">
        <v>355.33018951762818</v>
      </c>
      <c r="H44">
        <v>362.59968549614302</v>
      </c>
      <c r="I44">
        <v>35.400343922646982</v>
      </c>
      <c r="J44">
        <v>-7.2776138249408433</v>
      </c>
      <c r="K44">
        <v>-7.2694959785148399</v>
      </c>
      <c r="L44">
        <v>-5.6031895225693678</v>
      </c>
      <c r="M44">
        <v>383.21408142319518</v>
      </c>
      <c r="N44">
        <v>360.96743774414063</v>
      </c>
      <c r="O44">
        <v>338.72079406508607</v>
      </c>
      <c r="P44">
        <v>16.684358823003144</v>
      </c>
      <c r="Q44">
        <v>17.061149113407819</v>
      </c>
      <c r="R44">
        <v>-83.315641176996863</v>
      </c>
    </row>
    <row r="45" spans="1:18" x14ac:dyDescent="0.3">
      <c r="A45" s="20">
        <v>46199</v>
      </c>
      <c r="B45">
        <v>340.75879772927055</v>
      </c>
      <c r="C45">
        <v>343.89674477263412</v>
      </c>
      <c r="D45">
        <v>333.47351863030514</v>
      </c>
      <c r="E45">
        <v>334.47286987304688</v>
      </c>
      <c r="F45">
        <v>82484600</v>
      </c>
      <c r="G45">
        <v>352.11893332090011</v>
      </c>
      <c r="H45">
        <v>360.43719858633307</v>
      </c>
      <c r="I45">
        <v>31.954667994019431</v>
      </c>
      <c r="J45">
        <v>-8.4395689845587096</v>
      </c>
      <c r="K45">
        <v>-8.3182652654329559</v>
      </c>
      <c r="L45">
        <v>-6.1462416293533373</v>
      </c>
      <c r="M45">
        <v>380.47753938133809</v>
      </c>
      <c r="N45">
        <v>358.40921173095705</v>
      </c>
      <c r="O45">
        <v>336.34088408057602</v>
      </c>
      <c r="P45">
        <v>2.5056374138489659</v>
      </c>
      <c r="Q45">
        <v>11.635004137433597</v>
      </c>
      <c r="R45">
        <v>-97.494362586151027</v>
      </c>
    </row>
    <row r="46" spans="1:18" x14ac:dyDescent="0.3">
      <c r="A46" s="20">
        <v>46202</v>
      </c>
      <c r="B46">
        <v>339.72945766149388</v>
      </c>
      <c r="C46">
        <v>351.74164828387563</v>
      </c>
      <c r="D46">
        <v>338.59018263771787</v>
      </c>
      <c r="E46">
        <v>351.05209350585938</v>
      </c>
      <c r="F46">
        <v>25565700</v>
      </c>
      <c r="G46">
        <v>351.95469862269084</v>
      </c>
      <c r="H46">
        <v>359.71766069308791</v>
      </c>
      <c r="I46">
        <v>44.76239909732702</v>
      </c>
      <c r="J46">
        <v>-2.7383287305021597</v>
      </c>
      <c r="K46">
        <v>-7.7629620703970659</v>
      </c>
      <c r="L46">
        <v>-6.4696033230472834</v>
      </c>
      <c r="M46">
        <v>377.82857429246366</v>
      </c>
      <c r="N46">
        <v>357.16384124755859</v>
      </c>
      <c r="O46">
        <v>336.49910820265353</v>
      </c>
      <c r="P46">
        <v>44.074128300970933</v>
      </c>
      <c r="Q46">
        <v>21.088041512607685</v>
      </c>
      <c r="R46">
        <v>-55.925871699029059</v>
      </c>
    </row>
    <row r="47" spans="1:18" x14ac:dyDescent="0.3">
      <c r="A47" s="20">
        <v>46203</v>
      </c>
      <c r="B47">
        <v>350.73228111168817</v>
      </c>
      <c r="C47">
        <v>355.15943001131848</v>
      </c>
      <c r="D47">
        <v>347.88412415304458</v>
      </c>
      <c r="E47">
        <v>353.10073852539063</v>
      </c>
      <c r="F47">
        <v>21278400</v>
      </c>
      <c r="G47">
        <v>352.13110833706554</v>
      </c>
      <c r="H47">
        <v>359.21166658781226</v>
      </c>
      <c r="I47">
        <v>46.112144844341785</v>
      </c>
      <c r="J47">
        <v>-2.4731669411286461</v>
      </c>
      <c r="K47">
        <v>-7.0805582507467193</v>
      </c>
      <c r="L47">
        <v>-6.5917996309870306</v>
      </c>
      <c r="M47">
        <v>375.69764659888068</v>
      </c>
      <c r="N47">
        <v>356.21316223144532</v>
      </c>
      <c r="O47">
        <v>336.72867786400997</v>
      </c>
      <c r="P47">
        <v>49.210622247333497</v>
      </c>
      <c r="Q47">
        <v>31.9301293207178</v>
      </c>
      <c r="R47">
        <v>-50.789377752666496</v>
      </c>
    </row>
    <row r="48" spans="1:18" x14ac:dyDescent="0.3">
      <c r="A48" s="20">
        <v>46204</v>
      </c>
      <c r="B48">
        <v>354.38490690254582</v>
      </c>
      <c r="C48">
        <v>359.32670577875081</v>
      </c>
      <c r="D48">
        <v>353.00082626467815</v>
      </c>
      <c r="E48">
        <v>357.65780639648438</v>
      </c>
      <c r="F48">
        <v>19546800</v>
      </c>
      <c r="G48">
        <v>352.98176079735885</v>
      </c>
      <c r="H48">
        <v>359.0931273295393</v>
      </c>
      <c r="I48">
        <v>49.092074600101085</v>
      </c>
      <c r="J48">
        <v>1.2934484970628546</v>
      </c>
      <c r="K48">
        <v>-6.1113665321804547</v>
      </c>
      <c r="L48">
        <v>-6.4957096629790083</v>
      </c>
      <c r="M48">
        <v>375.67853680047369</v>
      </c>
      <c r="N48">
        <v>356.19894866943361</v>
      </c>
      <c r="O48">
        <v>336.71936053839352</v>
      </c>
      <c r="P48">
        <v>60.636394555311099</v>
      </c>
      <c r="Q48">
        <v>51.307048367871836</v>
      </c>
      <c r="R48">
        <v>-39.363605444688901</v>
      </c>
    </row>
    <row r="49" spans="1:18" x14ac:dyDescent="0.3">
      <c r="A49" s="20">
        <v>46205</v>
      </c>
      <c r="B49">
        <v>355.91893425724737</v>
      </c>
      <c r="C49">
        <v>360.75579054789137</v>
      </c>
      <c r="D49">
        <v>350.09273000877016</v>
      </c>
      <c r="E49">
        <v>355.94891357421875</v>
      </c>
      <c r="F49">
        <v>15532900</v>
      </c>
      <c r="G49">
        <v>353.4384235509217</v>
      </c>
      <c r="H49">
        <v>358.85379445930778</v>
      </c>
      <c r="I49">
        <v>48.019695013691589</v>
      </c>
      <c r="J49">
        <v>-0.10657597032179833</v>
      </c>
      <c r="K49">
        <v>-5.4153709083860804</v>
      </c>
      <c r="L49">
        <v>-6.2796358888026953</v>
      </c>
      <c r="M49">
        <v>375.70939466855907</v>
      </c>
      <c r="N49">
        <v>356.23462371826173</v>
      </c>
      <c r="O49">
        <v>336.75985276796439</v>
      </c>
      <c r="P49">
        <v>56.351749068725901</v>
      </c>
      <c r="Q49">
        <v>55.399588623790173</v>
      </c>
      <c r="R49">
        <v>-43.648250931274099</v>
      </c>
    </row>
    <row r="50" spans="1:18" x14ac:dyDescent="0.3">
      <c r="A50" s="20">
        <v>46209</v>
      </c>
      <c r="B50">
        <v>357.96260230009858</v>
      </c>
      <c r="C50">
        <v>365.44273122383379</v>
      </c>
      <c r="D50">
        <v>353.9601959550584</v>
      </c>
      <c r="E50">
        <v>364.66323852539063</v>
      </c>
      <c r="F50">
        <v>22652700</v>
      </c>
      <c r="G50">
        <v>355.16588698497452</v>
      </c>
      <c r="H50">
        <v>359.2950984746862</v>
      </c>
      <c r="I50">
        <v>53.587405076168459</v>
      </c>
      <c r="J50">
        <v>1.8818316601687091</v>
      </c>
      <c r="K50">
        <v>-4.129211489711679</v>
      </c>
      <c r="L50">
        <v>-5.8495414175572771</v>
      </c>
      <c r="M50">
        <v>375.02098228851605</v>
      </c>
      <c r="N50">
        <v>356.02736358642579</v>
      </c>
      <c r="O50">
        <v>337.03374488433553</v>
      </c>
      <c r="P50">
        <v>78.200862473727781</v>
      </c>
      <c r="Q50">
        <v>65.063002032588258</v>
      </c>
      <c r="R50">
        <v>-21.799137526272215</v>
      </c>
    </row>
    <row r="51" spans="1:18" x14ac:dyDescent="0.3">
      <c r="A51" s="20">
        <v>46210</v>
      </c>
      <c r="B51">
        <v>366.99673922381135</v>
      </c>
      <c r="C51">
        <v>370.64939729623461</v>
      </c>
      <c r="D51">
        <v>362.18489104489277</v>
      </c>
      <c r="E51">
        <v>363.38409423828125</v>
      </c>
      <c r="F51">
        <v>16443900</v>
      </c>
      <c r="G51">
        <v>356.43057893495194</v>
      </c>
      <c r="H51">
        <v>359.60512603163949</v>
      </c>
      <c r="I51">
        <v>52.695170456741849</v>
      </c>
      <c r="J51">
        <v>-0.95065945579040356</v>
      </c>
      <c r="K51">
        <v>-3.1745470966875473</v>
      </c>
      <c r="L51">
        <v>-5.3145330085143643</v>
      </c>
      <c r="M51">
        <v>374.7463188200532</v>
      </c>
      <c r="N51">
        <v>355.9314254760742</v>
      </c>
      <c r="O51">
        <v>337.11653213209519</v>
      </c>
      <c r="P51">
        <v>74.993710026807079</v>
      </c>
      <c r="Q51">
        <v>69.848773856420266</v>
      </c>
      <c r="R51">
        <v>-25.006289973192921</v>
      </c>
    </row>
    <row r="52" spans="1:18" x14ac:dyDescent="0.3">
      <c r="A52" s="20">
        <v>46211</v>
      </c>
      <c r="B52">
        <v>361.97499364324437</v>
      </c>
      <c r="C52">
        <v>364.7432160166469</v>
      </c>
      <c r="D52">
        <v>354.46988678616361</v>
      </c>
      <c r="E52">
        <v>358.47726440429688</v>
      </c>
      <c r="F52">
        <v>14710400</v>
      </c>
      <c r="G52">
        <v>356.74552787431043</v>
      </c>
      <c r="H52">
        <v>359.51976063068594</v>
      </c>
      <c r="I52">
        <v>49.303890243768024</v>
      </c>
      <c r="J52">
        <v>-3.3387298355309403</v>
      </c>
      <c r="K52">
        <v>-2.7742327563755111</v>
      </c>
      <c r="L52">
        <v>-4.8064657067077512</v>
      </c>
      <c r="M52">
        <v>374.51756343344289</v>
      </c>
      <c r="N52">
        <v>355.80850372314455</v>
      </c>
      <c r="O52">
        <v>337.09944401284622</v>
      </c>
      <c r="P52">
        <v>67.257981979876874</v>
      </c>
      <c r="Q52">
        <v>73.484184826803912</v>
      </c>
      <c r="R52">
        <v>-32.742018020123119</v>
      </c>
    </row>
    <row r="53" spans="1:18" x14ac:dyDescent="0.3">
      <c r="A53" s="20">
        <v>46212</v>
      </c>
      <c r="B53">
        <v>350.85719604987548</v>
      </c>
      <c r="C53">
        <v>356.49855290814662</v>
      </c>
      <c r="D53">
        <v>348.43378166816143</v>
      </c>
      <c r="E53">
        <v>356.00885009765625</v>
      </c>
      <c r="F53">
        <v>17217400</v>
      </c>
      <c r="G53">
        <v>356.63217021829786</v>
      </c>
      <c r="H53">
        <v>359.25445556344727</v>
      </c>
      <c r="I53">
        <v>47.642804977691625</v>
      </c>
      <c r="J53">
        <v>-1.6183467220798109</v>
      </c>
      <c r="K53">
        <v>-2.6222853451494075</v>
      </c>
      <c r="L53">
        <v>-4.3696246465529214</v>
      </c>
      <c r="M53">
        <v>373.98424466498591</v>
      </c>
      <c r="N53">
        <v>355.50619812011718</v>
      </c>
      <c r="O53">
        <v>337.02815157524844</v>
      </c>
      <c r="P53">
        <v>60.618154233443953</v>
      </c>
      <c r="Q53">
        <v>67.623282080042642</v>
      </c>
      <c r="R53">
        <v>-39.381845766556047</v>
      </c>
    </row>
    <row r="54" spans="1:18" x14ac:dyDescent="0.3">
      <c r="A54" s="20">
        <v>46213</v>
      </c>
      <c r="B54">
        <v>354.72371263228024</v>
      </c>
      <c r="C54">
        <v>355.44922427416492</v>
      </c>
      <c r="D54">
        <v>350.47247486186035</v>
      </c>
      <c r="E54">
        <v>354.79965209960938</v>
      </c>
      <c r="F54">
        <v>11618500</v>
      </c>
      <c r="G54">
        <v>356.35019675754597</v>
      </c>
      <c r="H54">
        <v>358.91832583257298</v>
      </c>
      <c r="I54">
        <v>46.810809552989603</v>
      </c>
      <c r="J54">
        <v>-3.3826813119161026</v>
      </c>
      <c r="K54">
        <v>-2.5681290750270023</v>
      </c>
      <c r="L54">
        <v>-4.0093222411067657</v>
      </c>
      <c r="M54">
        <v>374.03843861071755</v>
      </c>
      <c r="N54">
        <v>355.59164276123045</v>
      </c>
      <c r="O54">
        <v>337.14484691174334</v>
      </c>
      <c r="P54">
        <v>57.365512893307802</v>
      </c>
      <c r="Q54">
        <v>61.747216368876217</v>
      </c>
      <c r="R54">
        <v>-42.634487106692191</v>
      </c>
    </row>
    <row r="55" spans="1:18" x14ac:dyDescent="0.3">
      <c r="A55" s="20">
        <v>46216</v>
      </c>
      <c r="B55">
        <v>353.76032774681892</v>
      </c>
      <c r="C55">
        <v>355.51919564902391</v>
      </c>
      <c r="D55">
        <v>349.59305024832582</v>
      </c>
      <c r="E55">
        <v>350.4425048828125</v>
      </c>
      <c r="F55">
        <v>10583500</v>
      </c>
      <c r="G55">
        <v>355.4411912526873</v>
      </c>
      <c r="H55">
        <v>358.27967782041014</v>
      </c>
      <c r="I55">
        <v>43.839943323386784</v>
      </c>
      <c r="J55">
        <v>0.54189465957261707</v>
      </c>
      <c r="K55">
        <v>-2.838486567722839</v>
      </c>
      <c r="L55">
        <v>-3.7751533952392222</v>
      </c>
      <c r="M55">
        <v>373.88192537227701</v>
      </c>
      <c r="N55">
        <v>355.2973342895508</v>
      </c>
      <c r="O55">
        <v>336.7127432068246</v>
      </c>
      <c r="P55">
        <v>45.645151806617299</v>
      </c>
      <c r="Q55">
        <v>54.542939644456347</v>
      </c>
      <c r="R55">
        <v>-54.354848193382701</v>
      </c>
    </row>
    <row r="56" spans="1:18" x14ac:dyDescent="0.3">
      <c r="A56" s="20">
        <v>46217</v>
      </c>
      <c r="B56">
        <v>348.61366275331056</v>
      </c>
      <c r="C56">
        <v>357.64780598014937</v>
      </c>
      <c r="D56">
        <v>348.61366275331056</v>
      </c>
      <c r="E56">
        <v>357.09814453125</v>
      </c>
      <c r="F56">
        <v>11252600</v>
      </c>
      <c r="G56">
        <v>355.69613795323437</v>
      </c>
      <c r="H56">
        <v>358.1907633922736</v>
      </c>
      <c r="I56">
        <v>49.148904045202848</v>
      </c>
      <c r="J56">
        <v>3.2506952489417928</v>
      </c>
      <c r="K56">
        <v>-2.4946254390392255</v>
      </c>
      <c r="L56">
        <v>-3.5190463067955062</v>
      </c>
      <c r="M56">
        <v>373.81942506759873</v>
      </c>
      <c r="N56">
        <v>355.255859375</v>
      </c>
      <c r="O56">
        <v>336.69229368240127</v>
      </c>
      <c r="P56">
        <v>63.548265027548879</v>
      </c>
      <c r="Q56">
        <v>55.519643242491327</v>
      </c>
      <c r="R56">
        <v>-36.451734972451121</v>
      </c>
    </row>
    <row r="57" spans="1:18" x14ac:dyDescent="0.3">
      <c r="A57" s="20">
        <v>46218</v>
      </c>
      <c r="B57">
        <v>355.77901930183339</v>
      </c>
      <c r="C57">
        <v>371.89855853141523</v>
      </c>
      <c r="D57">
        <v>355.43924356423378</v>
      </c>
      <c r="E57">
        <v>369.96978759765625</v>
      </c>
      <c r="F57">
        <v>20258200</v>
      </c>
      <c r="G57">
        <v>357.89230863667819</v>
      </c>
      <c r="H57">
        <v>359.07613116027386</v>
      </c>
      <c r="I57">
        <v>57.513770902959941</v>
      </c>
      <c r="J57">
        <v>7.2947930672410122</v>
      </c>
      <c r="K57">
        <v>-1.1838225235956656</v>
      </c>
      <c r="L57">
        <v>-3.0519993658679576</v>
      </c>
      <c r="M57">
        <v>374.42857994261578</v>
      </c>
      <c r="N57">
        <v>355.41075897216797</v>
      </c>
      <c r="O57">
        <v>336.39293800172015</v>
      </c>
      <c r="P57">
        <v>94.980432190251904</v>
      </c>
      <c r="Q57">
        <v>68.057949674806025</v>
      </c>
      <c r="R57">
        <v>-5.0195678097480929</v>
      </c>
    </row>
    <row r="58" spans="1:18" x14ac:dyDescent="0.3">
      <c r="A58" s="20">
        <v>46219</v>
      </c>
      <c r="B58">
        <v>371.92854815951733</v>
      </c>
      <c r="C58">
        <v>374.10712644806381</v>
      </c>
      <c r="D58">
        <v>351.44184863462243</v>
      </c>
      <c r="E58">
        <v>353.5804443359375</v>
      </c>
      <c r="F58">
        <v>23603700</v>
      </c>
      <c r="G58">
        <v>357.22888749280833</v>
      </c>
      <c r="H58">
        <v>358.6634991272249</v>
      </c>
      <c r="I58">
        <v>46.928387484219094</v>
      </c>
      <c r="J58">
        <v>3.3957732053248035</v>
      </c>
      <c r="K58">
        <v>-1.4346116344165694</v>
      </c>
      <c r="L58">
        <v>-2.7285206092999652</v>
      </c>
      <c r="M58">
        <v>372.12512106812801</v>
      </c>
      <c r="N58">
        <v>354.54681854248048</v>
      </c>
      <c r="O58">
        <v>336.96851601683295</v>
      </c>
      <c r="P58">
        <v>49.483486171869664</v>
      </c>
      <c r="Q58">
        <v>69.337394463223475</v>
      </c>
      <c r="R58">
        <v>-50.516513828130336</v>
      </c>
    </row>
    <row r="59" spans="1:18" x14ac:dyDescent="0.3">
      <c r="A59" s="20">
        <v>46220</v>
      </c>
      <c r="B59">
        <v>345.54566774331437</v>
      </c>
      <c r="C59">
        <v>347.94413512078449</v>
      </c>
      <c r="D59">
        <v>340.90369220643186</v>
      </c>
      <c r="E59">
        <v>345.89544677734375</v>
      </c>
      <c r="F59">
        <v>22023900</v>
      </c>
      <c r="G59">
        <v>355.48515355791068</v>
      </c>
      <c r="H59">
        <v>357.70580303113536</v>
      </c>
      <c r="I59">
        <v>42.937761587734805</v>
      </c>
      <c r="J59">
        <v>3.415098183787646</v>
      </c>
      <c r="K59">
        <v>-2.2206494732246824</v>
      </c>
      <c r="L59">
        <v>-2.626946078056557</v>
      </c>
      <c r="M59">
        <v>371.37769157541362</v>
      </c>
      <c r="N59">
        <v>353.74833679199219</v>
      </c>
      <c r="O59">
        <v>336.11898200857075</v>
      </c>
      <c r="P59">
        <v>20.568391747428123</v>
      </c>
      <c r="Q59">
        <v>55.010770036516561</v>
      </c>
      <c r="R59">
        <v>-79.431608252571877</v>
      </c>
    </row>
    <row r="60" spans="1:18" x14ac:dyDescent="0.3">
      <c r="A60" s="20">
        <v>46223</v>
      </c>
      <c r="B60">
        <v>349.94282565857179</v>
      </c>
      <c r="C60">
        <v>359.25675573174533</v>
      </c>
      <c r="D60">
        <v>349.77792416999904</v>
      </c>
      <c r="E60">
        <v>351.14202880859375</v>
      </c>
      <c r="F60">
        <v>13203300</v>
      </c>
      <c r="G60">
        <v>354.81693912176399</v>
      </c>
      <c r="H60">
        <v>357.21393156921175</v>
      </c>
      <c r="I60">
        <v>46.295402645033207</v>
      </c>
      <c r="J60">
        <v>2.5618791170334276E-2</v>
      </c>
      <c r="K60">
        <v>-2.396992447447758</v>
      </c>
      <c r="L60">
        <v>-2.5809552418086228</v>
      </c>
      <c r="M60">
        <v>369.41512361814875</v>
      </c>
      <c r="N60">
        <v>352.94435882568359</v>
      </c>
      <c r="O60">
        <v>336.47359403321843</v>
      </c>
      <c r="P60">
        <v>30.83517363792631</v>
      </c>
      <c r="Q60">
        <v>33.629017185741368</v>
      </c>
      <c r="R60">
        <v>-69.164826362073683</v>
      </c>
    </row>
    <row r="61" spans="1:18" x14ac:dyDescent="0.3">
      <c r="A61" s="20">
        <v>46224</v>
      </c>
      <c r="B61">
        <v>350.3325529143338</v>
      </c>
      <c r="C61">
        <v>350.51242881019039</v>
      </c>
      <c r="D61">
        <v>345.78551717054967</v>
      </c>
      <c r="E61">
        <v>345.96539306640625</v>
      </c>
      <c r="F61">
        <v>17419500</v>
      </c>
      <c r="G61">
        <v>353.45509141525923</v>
      </c>
      <c r="H61">
        <v>356.37172356962458</v>
      </c>
      <c r="I61">
        <v>43.571191758139413</v>
      </c>
      <c r="J61">
        <v>-2.02076763950787</v>
      </c>
      <c r="K61">
        <v>-2.9166321543653453</v>
      </c>
      <c r="L61">
        <v>-2.6480907529260569</v>
      </c>
      <c r="M61">
        <v>369.47060197202114</v>
      </c>
      <c r="N61">
        <v>352.81494293212893</v>
      </c>
      <c r="O61">
        <v>336.15928389223672</v>
      </c>
      <c r="P61">
        <v>15.24451002007439</v>
      </c>
      <c r="Q61">
        <v>22.216025135142942</v>
      </c>
      <c r="R61">
        <v>-84.755489979925613</v>
      </c>
    </row>
    <row r="62" spans="1:18" x14ac:dyDescent="0.3">
      <c r="A62" s="20">
        <v>46225</v>
      </c>
      <c r="B62">
        <v>346.95474121510307</v>
      </c>
      <c r="C62">
        <v>349.22328795061031</v>
      </c>
      <c r="D62">
        <v>341.41835754275996</v>
      </c>
      <c r="E62">
        <v>341.68817138671875</v>
      </c>
      <c r="F62">
        <v>23273800</v>
      </c>
      <c r="G62">
        <v>351.64471572382428</v>
      </c>
      <c r="H62">
        <v>355.27320422060353</v>
      </c>
      <c r="I62">
        <v>41.403304468762336</v>
      </c>
      <c r="J62">
        <v>-4.465059820912276</v>
      </c>
      <c r="K62">
        <v>-3.628488496779255</v>
      </c>
      <c r="L62">
        <v>-2.844170602188191</v>
      </c>
      <c r="M62">
        <v>369.72661512511661</v>
      </c>
      <c r="N62">
        <v>352.60657958984376</v>
      </c>
      <c r="O62">
        <v>335.48654405457091</v>
      </c>
      <c r="P62">
        <v>2.3626447028882298</v>
      </c>
      <c r="Q62">
        <v>16.147442786962976</v>
      </c>
      <c r="R62">
        <v>-97.637355297111768</v>
      </c>
    </row>
    <row r="63" spans="1:18" x14ac:dyDescent="0.3">
      <c r="A63" s="20">
        <v>46226</v>
      </c>
      <c r="B63">
        <v>321.42132731539471</v>
      </c>
      <c r="C63">
        <v>324.23950498361251</v>
      </c>
      <c r="D63">
        <v>314.68571007093101</v>
      </c>
      <c r="E63">
        <v>318.13345336914063</v>
      </c>
      <c r="F63">
        <v>46751900</v>
      </c>
      <c r="G63">
        <v>346.48894339019495</v>
      </c>
      <c r="H63">
        <v>352.49672255738074</v>
      </c>
      <c r="I63">
        <v>31.969716919029366</v>
      </c>
      <c r="J63">
        <v>-10.623844816762794</v>
      </c>
      <c r="K63">
        <v>-6.0077791671857881</v>
      </c>
      <c r="L63">
        <v>-3.4768930909032245</v>
      </c>
      <c r="M63">
        <v>374.14192120982005</v>
      </c>
      <c r="N63">
        <v>351.27244415283201</v>
      </c>
      <c r="O63">
        <v>328.40296709584396</v>
      </c>
      <c r="P63">
        <v>5.8021896959299246</v>
      </c>
      <c r="Q63">
        <v>7.8031148062975149</v>
      </c>
      <c r="R63">
        <v>-94.197810304070074</v>
      </c>
    </row>
    <row r="64" spans="1:18" x14ac:dyDescent="0.3">
      <c r="A64" s="20">
        <v>46227</v>
      </c>
      <c r="B64">
        <v>318.09346911452678</v>
      </c>
      <c r="C64">
        <v>323.76980700807968</v>
      </c>
      <c r="D64">
        <v>317.29400036782914</v>
      </c>
      <c r="E64">
        <v>318.88296508789063</v>
      </c>
      <c r="F64">
        <v>21630800</v>
      </c>
      <c r="G64">
        <v>342.24173492067263</v>
      </c>
      <c r="H64">
        <v>349.98555263847078</v>
      </c>
      <c r="I64">
        <v>32.496766723595996</v>
      </c>
      <c r="J64">
        <v>-12.554123531240569</v>
      </c>
      <c r="K64">
        <v>-7.7438177177981515</v>
      </c>
      <c r="L64">
        <v>-4.3302788532805296</v>
      </c>
      <c r="M64">
        <v>376.95168030006886</v>
      </c>
      <c r="N64">
        <v>350.1181930541992</v>
      </c>
      <c r="O64">
        <v>323.28470580832953</v>
      </c>
      <c r="P64">
        <v>7.0635391629184561</v>
      </c>
      <c r="Q64">
        <v>5.0761245205788699</v>
      </c>
      <c r="R64">
        <v>-92.93646083708154</v>
      </c>
    </row>
    <row r="65" spans="1:18" x14ac:dyDescent="0.3">
      <c r="A65" s="20">
        <v>46230</v>
      </c>
      <c r="B65">
        <v>324.52929403213483</v>
      </c>
      <c r="C65">
        <v>329.8868386688282</v>
      </c>
      <c r="D65">
        <v>324.19952156013301</v>
      </c>
      <c r="E65">
        <v>326.35812377929688</v>
      </c>
      <c r="F65">
        <v>21419600</v>
      </c>
      <c r="G65">
        <v>339.79803676912093</v>
      </c>
      <c r="H65">
        <v>348.221543292798</v>
      </c>
      <c r="I65">
        <v>37.682234323877687</v>
      </c>
      <c r="J65">
        <v>-10.189210547753202</v>
      </c>
      <c r="K65">
        <v>-8.4235065236770765</v>
      </c>
      <c r="L65">
        <v>-5.1489250297005054</v>
      </c>
      <c r="M65">
        <v>377.75994734848905</v>
      </c>
      <c r="N65">
        <v>349.71245574951172</v>
      </c>
      <c r="O65">
        <v>321.66496415053439</v>
      </c>
      <c r="P65">
        <v>19.643445781036235</v>
      </c>
      <c r="Q65">
        <v>10.836391546628207</v>
      </c>
      <c r="R65">
        <v>-80.356554218963765</v>
      </c>
    </row>
    <row r="66" spans="1:18" x14ac:dyDescent="0.3">
      <c r="A66" s="20">
        <v>46231</v>
      </c>
      <c r="B66">
        <v>327.58731223420995</v>
      </c>
      <c r="C66">
        <v>334.99250831020606</v>
      </c>
      <c r="D66">
        <v>324.32944805002501</v>
      </c>
      <c r="E66">
        <v>332.38421630859375</v>
      </c>
      <c r="F66">
        <v>20986900</v>
      </c>
      <c r="G66">
        <v>338.65742307038761</v>
      </c>
      <c r="H66">
        <v>347.03982984638668</v>
      </c>
      <c r="I66">
        <v>41.578395316560162</v>
      </c>
      <c r="J66">
        <v>-7.2788571791473355</v>
      </c>
      <c r="K66">
        <v>-8.3824067759990726</v>
      </c>
      <c r="L66">
        <v>-5.7956217848983504</v>
      </c>
      <c r="M66">
        <v>377.86221762074325</v>
      </c>
      <c r="N66">
        <v>348.77906188964846</v>
      </c>
      <c r="O66">
        <v>319.69590615855367</v>
      </c>
      <c r="P66">
        <v>29.784726310350411</v>
      </c>
      <c r="Q66">
        <v>18.830570418101701</v>
      </c>
      <c r="R66">
        <v>-70.215273689649592</v>
      </c>
    </row>
    <row r="67" spans="1:18" x14ac:dyDescent="0.3">
      <c r="A67" s="20">
        <v>46232</v>
      </c>
      <c r="B67">
        <v>333.28363177710901</v>
      </c>
      <c r="C67">
        <v>341.75814109954746</v>
      </c>
      <c r="D67">
        <v>330.19362731449428</v>
      </c>
      <c r="E67">
        <v>335.54217529296875</v>
      </c>
      <c r="F67">
        <v>20242900</v>
      </c>
      <c r="G67">
        <v>338.17814496020981</v>
      </c>
      <c r="H67">
        <v>346.1823885766359</v>
      </c>
      <c r="I67">
        <v>43.569500872977883</v>
      </c>
      <c r="J67">
        <v>-5.7489230391529089</v>
      </c>
      <c r="K67">
        <v>-8.0042436164260948</v>
      </c>
      <c r="L67">
        <v>-6.2373463730239136</v>
      </c>
      <c r="M67">
        <v>377.49066021884346</v>
      </c>
      <c r="N67">
        <v>347.90113372802733</v>
      </c>
      <c r="O67">
        <v>318.31160723721121</v>
      </c>
      <c r="P67">
        <v>35.099239455463319</v>
      </c>
      <c r="Q67">
        <v>28.175803848949986</v>
      </c>
      <c r="R67">
        <v>-64.900760544536666</v>
      </c>
    </row>
    <row r="68" spans="1:18" x14ac:dyDescent="0.3">
      <c r="A68" s="20">
        <v>46233</v>
      </c>
      <c r="B68">
        <v>332.86388415722257</v>
      </c>
      <c r="C68">
        <v>335.23237211850426</v>
      </c>
      <c r="D68">
        <v>329.60601998488391</v>
      </c>
      <c r="E68">
        <v>333.4635009765625</v>
      </c>
      <c r="F68">
        <v>17309500</v>
      </c>
      <c r="G68">
        <v>337.45280330796709</v>
      </c>
      <c r="H68">
        <v>345.23434866272891</v>
      </c>
      <c r="I68">
        <v>42.541720081807568</v>
      </c>
      <c r="J68">
        <v>-6.0135772390940145</v>
      </c>
      <c r="K68">
        <v>-7.7815453547618176</v>
      </c>
      <c r="L68">
        <v>-6.5461862934431503</v>
      </c>
      <c r="M68">
        <v>376.5782214852822</v>
      </c>
      <c r="N68">
        <v>346.69141845703126</v>
      </c>
      <c r="O68">
        <v>316.80461542878032</v>
      </c>
      <c r="P68">
        <v>31.601048999662968</v>
      </c>
      <c r="Q68">
        <v>32.161671588492233</v>
      </c>
      <c r="R68">
        <v>-68.398951000337036</v>
      </c>
    </row>
    <row r="69" spans="1:18" x14ac:dyDescent="0.3">
      <c r="A69" s="20">
        <v>46234</v>
      </c>
      <c r="B69">
        <v>339.84937966618537</v>
      </c>
      <c r="C69">
        <v>358.64717383835989</v>
      </c>
      <c r="D69">
        <v>338.9399663883276</v>
      </c>
      <c r="E69">
        <v>356.41860961914063</v>
      </c>
      <c r="F69">
        <v>30514500</v>
      </c>
      <c r="G69">
        <v>340.3706598582736</v>
      </c>
      <c r="H69">
        <v>346.06761410110647</v>
      </c>
      <c r="I69">
        <v>55.12966445338381</v>
      </c>
      <c r="J69">
        <v>1.7053024827357932</v>
      </c>
      <c r="K69">
        <v>-5.6969542428328737</v>
      </c>
      <c r="L69">
        <v>-6.3763398287345465</v>
      </c>
      <c r="M69">
        <v>376.6330573283397</v>
      </c>
      <c r="N69">
        <v>346.71490325927732</v>
      </c>
      <c r="O69">
        <v>316.79674919021494</v>
      </c>
      <c r="P69">
        <v>70.232084814911488</v>
      </c>
      <c r="Q69">
        <v>45.644124423345922</v>
      </c>
      <c r="R69">
        <v>-29.767915185088505</v>
      </c>
    </row>
    <row r="70" spans="1:18" x14ac:dyDescent="0.3">
      <c r="A70" s="20">
        <v>46237</v>
      </c>
      <c r="B70">
        <v>365.0629711921722</v>
      </c>
      <c r="C70">
        <v>375.85598215611611</v>
      </c>
      <c r="D70">
        <v>363.02431675824181</v>
      </c>
      <c r="E70">
        <v>372.22833251953125</v>
      </c>
      <c r="F70">
        <v>27165400</v>
      </c>
      <c r="G70">
        <v>345.27189739719279</v>
      </c>
      <c r="H70">
        <v>348.01584008223273</v>
      </c>
      <c r="I70">
        <v>61.401593775228008</v>
      </c>
      <c r="J70">
        <v>4.2369830871404002</v>
      </c>
      <c r="K70">
        <v>-2.74394268503994</v>
      </c>
      <c r="L70">
        <v>-5.6498602132103883</v>
      </c>
      <c r="M70">
        <v>378.13688443840078</v>
      </c>
      <c r="N70">
        <v>347.09315795898436</v>
      </c>
      <c r="O70">
        <v>316.04943147956794</v>
      </c>
      <c r="P70">
        <v>94.069587214630928</v>
      </c>
      <c r="Q70">
        <v>65.300907009735127</v>
      </c>
      <c r="R70">
        <v>-5.9304127853690671</v>
      </c>
    </row>
    <row r="71" spans="1:18" x14ac:dyDescent="0.3">
      <c r="A71" s="20">
        <v>46238</v>
      </c>
      <c r="B71">
        <v>366.28218773035394</v>
      </c>
      <c r="C71">
        <v>377.42397148715497</v>
      </c>
      <c r="D71">
        <v>365.92243594034642</v>
      </c>
      <c r="E71">
        <v>375.10647583007813</v>
      </c>
      <c r="F71">
        <v>19983300</v>
      </c>
      <c r="G71">
        <v>349.86187781116229</v>
      </c>
      <c r="H71">
        <v>350.03251700350961</v>
      </c>
      <c r="I71">
        <v>62.431132720298436</v>
      </c>
      <c r="J71">
        <v>1.3884074874805918</v>
      </c>
      <c r="K71">
        <v>-0.17063919234732339</v>
      </c>
      <c r="L71">
        <v>-4.5540157836356503</v>
      </c>
      <c r="M71">
        <v>380.41463436619574</v>
      </c>
      <c r="N71">
        <v>347.67927703857424</v>
      </c>
      <c r="O71">
        <v>314.94391971095274</v>
      </c>
      <c r="P71">
        <v>96.306088812850732</v>
      </c>
      <c r="Q71">
        <v>86.86925361413104</v>
      </c>
      <c r="R71">
        <v>-3.693911187149264</v>
      </c>
    </row>
    <row r="72" spans="1:18" x14ac:dyDescent="0.3">
      <c r="A72" s="20">
        <v>46239</v>
      </c>
      <c r="B72">
        <v>379.75346630804506</v>
      </c>
      <c r="C72">
        <v>381.56228958932161</v>
      </c>
      <c r="D72">
        <v>354.92958548595794</v>
      </c>
      <c r="E72">
        <v>359.8963623046875</v>
      </c>
      <c r="F72">
        <v>29436300</v>
      </c>
      <c r="G72">
        <v>351.40565753996157</v>
      </c>
      <c r="H72">
        <v>350.76652990263318</v>
      </c>
      <c r="I72">
        <v>54.202997248880052</v>
      </c>
      <c r="J72">
        <v>1.7862746851319722</v>
      </c>
      <c r="K72">
        <v>0.63912763732838584</v>
      </c>
      <c r="L72">
        <v>-3.5153869285359916</v>
      </c>
      <c r="M72">
        <v>380.59012148177703</v>
      </c>
      <c r="N72">
        <v>347.75023193359374</v>
      </c>
      <c r="O72">
        <v>314.91034238541044</v>
      </c>
      <c r="P72">
        <v>67.603116904811017</v>
      </c>
      <c r="Q72">
        <v>85.992930977430888</v>
      </c>
      <c r="R72">
        <v>-32.396883095188997</v>
      </c>
    </row>
    <row r="73" spans="1:18" x14ac:dyDescent="0.3">
      <c r="A73" s="20">
        <v>46240</v>
      </c>
      <c r="B73">
        <v>358.55919866227509</v>
      </c>
      <c r="C73">
        <v>361.72514244998331</v>
      </c>
      <c r="D73">
        <v>355.5991148729006</v>
      </c>
      <c r="E73">
        <v>356.38861083984375</v>
      </c>
      <c r="F73">
        <v>16513400</v>
      </c>
      <c r="G73">
        <v>352.17227115345617</v>
      </c>
      <c r="H73">
        <v>351.18475175646932</v>
      </c>
      <c r="I73">
        <v>52.485022987037901</v>
      </c>
      <c r="J73">
        <v>3.0336230673931208</v>
      </c>
      <c r="K73">
        <v>0.98751939698684055</v>
      </c>
      <c r="L73">
        <v>-2.6148055448785636</v>
      </c>
      <c r="M73">
        <v>380.62964808892929</v>
      </c>
      <c r="N73">
        <v>347.76921997070315</v>
      </c>
      <c r="O73">
        <v>314.90879185247701</v>
      </c>
      <c r="P73">
        <v>62.358004953654557</v>
      </c>
      <c r="Q73">
        <v>75.422403557105426</v>
      </c>
      <c r="R73">
        <v>-37.641995046345436</v>
      </c>
    </row>
    <row r="74" spans="1:18" x14ac:dyDescent="0.3">
      <c r="A74" s="20">
        <v>46241</v>
      </c>
      <c r="B74">
        <v>355.04948481096045</v>
      </c>
      <c r="C74">
        <v>357.31800100269635</v>
      </c>
      <c r="D74">
        <v>352.59108945584387</v>
      </c>
      <c r="E74">
        <v>353.24066162109375</v>
      </c>
      <c r="F74">
        <v>14516700</v>
      </c>
      <c r="G74">
        <v>352.33663989984308</v>
      </c>
      <c r="H74">
        <v>351.33764098278613</v>
      </c>
      <c r="I74">
        <v>50.925080239281598</v>
      </c>
      <c r="J74">
        <v>0.59765924905672563</v>
      </c>
      <c r="K74">
        <v>0.99899891705695154</v>
      </c>
      <c r="L74">
        <v>-1.8920445763758464</v>
      </c>
      <c r="M74">
        <v>380.48881503326044</v>
      </c>
      <c r="N74">
        <v>347.69127044677737</v>
      </c>
      <c r="O74">
        <v>314.8937258602943</v>
      </c>
      <c r="P74">
        <v>57.650902345507063</v>
      </c>
      <c r="Q74">
        <v>62.537341401324205</v>
      </c>
      <c r="R74">
        <v>-42.349097654492937</v>
      </c>
    </row>
    <row r="75" spans="1:18" x14ac:dyDescent="0.3">
      <c r="A75" s="20">
        <v>46244</v>
      </c>
      <c r="B75">
        <v>354.01016282403191</v>
      </c>
      <c r="C75">
        <v>355.6990688085296</v>
      </c>
      <c r="D75">
        <v>351.24197095190038</v>
      </c>
      <c r="E75">
        <v>355.609130859375</v>
      </c>
      <c r="F75">
        <v>12789500</v>
      </c>
      <c r="G75">
        <v>352.84010259293694</v>
      </c>
      <c r="H75">
        <v>351.65520080517126</v>
      </c>
      <c r="I75">
        <v>52.079125174532209</v>
      </c>
      <c r="J75">
        <v>2.7874862591003913</v>
      </c>
      <c r="K75">
        <v>1.184901787765682</v>
      </c>
      <c r="L75">
        <v>-1.2766552517010927</v>
      </c>
      <c r="M75">
        <v>380.91932770962921</v>
      </c>
      <c r="N75">
        <v>347.94960174560549</v>
      </c>
      <c r="O75">
        <v>314.97987578158177</v>
      </c>
      <c r="P75">
        <v>61.192454941853491</v>
      </c>
      <c r="Q75">
        <v>60.40045408033837</v>
      </c>
      <c r="R75">
        <v>-38.807545058146502</v>
      </c>
    </row>
    <row r="76" spans="1:18" x14ac:dyDescent="0.3">
      <c r="A76" s="20">
        <v>46245</v>
      </c>
      <c r="B76">
        <v>353.77032915565781</v>
      </c>
      <c r="C76">
        <v>354.76968036796188</v>
      </c>
      <c r="D76">
        <v>342.34775211848859</v>
      </c>
      <c r="E76">
        <v>342.7774658203125</v>
      </c>
      <c r="F76">
        <v>18390200</v>
      </c>
      <c r="G76">
        <v>351.29199800497622</v>
      </c>
      <c r="H76">
        <v>350.99537223591688</v>
      </c>
      <c r="I76">
        <v>45.795810376774675</v>
      </c>
      <c r="J76">
        <v>0.31879781766308568</v>
      </c>
      <c r="K76">
        <v>0.29662576905934657</v>
      </c>
      <c r="L76">
        <v>-0.96199902634121714</v>
      </c>
      <c r="M76">
        <v>379.9880436188626</v>
      </c>
      <c r="N76">
        <v>347.23356781005862</v>
      </c>
      <c r="O76">
        <v>314.47909200125463</v>
      </c>
      <c r="P76">
        <v>42.005371613924204</v>
      </c>
      <c r="Q76">
        <v>53.616242967094912</v>
      </c>
      <c r="R76">
        <v>-57.994628386075796</v>
      </c>
    </row>
    <row r="77" spans="1:18" x14ac:dyDescent="0.3">
      <c r="A77" s="20">
        <v>46246</v>
      </c>
      <c r="B77">
        <v>345.10592861121643</v>
      </c>
      <c r="C77">
        <v>345.27583173036641</v>
      </c>
      <c r="D77">
        <v>339.59952436320935</v>
      </c>
      <c r="E77">
        <v>342.14785766601563</v>
      </c>
      <c r="F77">
        <v>15608800</v>
      </c>
      <c r="G77">
        <v>349.88520209109737</v>
      </c>
      <c r="H77">
        <v>350.33795405869296</v>
      </c>
      <c r="I77">
        <v>45.505700207142823</v>
      </c>
      <c r="J77">
        <v>7.5485316123011792</v>
      </c>
      <c r="K77">
        <v>-0.45275196759558867</v>
      </c>
      <c r="L77">
        <v>-0.86014960910038174</v>
      </c>
      <c r="M77">
        <v>376.84770100598064</v>
      </c>
      <c r="N77">
        <v>345.84247131347655</v>
      </c>
      <c r="O77">
        <v>314.83724162097246</v>
      </c>
      <c r="P77">
        <v>38.672038106586022</v>
      </c>
      <c r="Q77">
        <v>47.28995488745457</v>
      </c>
      <c r="R77">
        <v>-61.327961893413971</v>
      </c>
    </row>
    <row r="78" spans="1:18" x14ac:dyDescent="0.3">
      <c r="A78" s="20">
        <v>46247</v>
      </c>
      <c r="B78">
        <v>344.3464540526557</v>
      </c>
      <c r="C78">
        <v>345.60561583987601</v>
      </c>
      <c r="D78">
        <v>342.17784850602186</v>
      </c>
      <c r="E78">
        <v>343.71685791015625</v>
      </c>
      <c r="F78">
        <v>14997800</v>
      </c>
      <c r="G78">
        <v>348.93622315652237</v>
      </c>
      <c r="H78">
        <v>349.84608459591817</v>
      </c>
      <c r="I78">
        <v>46.416670574482893</v>
      </c>
      <c r="J78">
        <v>7.7877765641764185</v>
      </c>
      <c r="K78">
        <v>-0.90986143939579733</v>
      </c>
      <c r="L78">
        <v>-0.87009197558833784</v>
      </c>
      <c r="M78">
        <v>376.14938687699879</v>
      </c>
      <c r="N78">
        <v>345.34929199218749</v>
      </c>
      <c r="O78">
        <v>314.54919710737619</v>
      </c>
      <c r="P78">
        <v>34.024397741915095</v>
      </c>
      <c r="Q78">
        <v>38.233935820808433</v>
      </c>
      <c r="R78">
        <v>-65.975602258084905</v>
      </c>
    </row>
    <row r="79" spans="1:18" x14ac:dyDescent="0.3">
      <c r="A79" s="20">
        <v>46248</v>
      </c>
      <c r="B79">
        <v>344.03664221382707</v>
      </c>
      <c r="C79">
        <v>347.8341644460391</v>
      </c>
      <c r="D79">
        <v>341.84806072016346</v>
      </c>
      <c r="E79">
        <v>343.31710815429688</v>
      </c>
      <c r="F79">
        <v>10946800</v>
      </c>
      <c r="G79">
        <v>348.07174168486245</v>
      </c>
      <c r="H79">
        <v>349.36116238765896</v>
      </c>
      <c r="I79">
        <v>46.204741958420712</v>
      </c>
      <c r="J79">
        <v>5.1964339599122944</v>
      </c>
      <c r="K79">
        <v>-1.2894207027965194</v>
      </c>
      <c r="L79">
        <v>-0.95395772392407463</v>
      </c>
      <c r="M79">
        <v>376.03242621651458</v>
      </c>
      <c r="N79">
        <v>345.22037506103516</v>
      </c>
      <c r="O79">
        <v>314.40832390555573</v>
      </c>
      <c r="P79">
        <v>33.176161786820884</v>
      </c>
      <c r="Q79">
        <v>35.290865878440663</v>
      </c>
      <c r="R79">
        <v>-66.823838213179116</v>
      </c>
    </row>
    <row r="80" spans="1:18" x14ac:dyDescent="0.3">
      <c r="A80" s="20">
        <v>46251</v>
      </c>
      <c r="B80">
        <v>343.83677714381588</v>
      </c>
      <c r="C80">
        <v>344.82612508896136</v>
      </c>
      <c r="D80">
        <v>339.34969994056797</v>
      </c>
      <c r="E80">
        <v>341.22848510742188</v>
      </c>
      <c r="F80">
        <v>12606100</v>
      </c>
      <c r="G80">
        <v>347.01893067177667</v>
      </c>
      <c r="H80">
        <v>348.75724932378751</v>
      </c>
      <c r="I80">
        <v>45.047451467773477</v>
      </c>
      <c r="J80">
        <v>2.660857033781916</v>
      </c>
      <c r="K80">
        <v>-1.7383186520108325</v>
      </c>
      <c r="L80">
        <v>-1.1108299138721942</v>
      </c>
      <c r="M80">
        <v>375.4544953226773</v>
      </c>
      <c r="N80">
        <v>344.72469787597657</v>
      </c>
      <c r="O80">
        <v>313.99490042927584</v>
      </c>
      <c r="P80">
        <v>22.36970669954577</v>
      </c>
      <c r="Q80">
        <v>29.856755409427247</v>
      </c>
      <c r="R80">
        <v>-77.630293300454241</v>
      </c>
    </row>
    <row r="81" spans="1:18" x14ac:dyDescent="0.3">
      <c r="A81" s="20">
        <v>46252</v>
      </c>
      <c r="B81">
        <v>339.67445211423001</v>
      </c>
      <c r="C81">
        <v>342.16785888071183</v>
      </c>
      <c r="D81">
        <v>337.30099310528044</v>
      </c>
      <c r="E81">
        <v>341.05856323242188</v>
      </c>
      <c r="F81">
        <v>14254300</v>
      </c>
      <c r="G81">
        <v>346.10194936412091</v>
      </c>
      <c r="H81">
        <v>348.18566829993676</v>
      </c>
      <c r="I81">
        <v>44.948812625033135</v>
      </c>
      <c r="J81">
        <v>1.6440222260097892</v>
      </c>
      <c r="K81">
        <v>-2.0837189358158525</v>
      </c>
      <c r="L81">
        <v>-1.3054077225582912</v>
      </c>
      <c r="M81">
        <v>375.24577523585401</v>
      </c>
      <c r="N81">
        <v>344.47935638427737</v>
      </c>
      <c r="O81">
        <v>313.71293753270072</v>
      </c>
      <c r="P81">
        <v>22.04265882583644</v>
      </c>
      <c r="Q81">
        <v>25.862842437401032</v>
      </c>
      <c r="R81">
        <v>-77.95734117416356</v>
      </c>
    </row>
    <row r="82" spans="1:18" x14ac:dyDescent="0.3">
      <c r="A82" s="20">
        <v>46253</v>
      </c>
      <c r="B82">
        <v>339.58954402807842</v>
      </c>
      <c r="C82">
        <v>343.33711119577401</v>
      </c>
      <c r="D82">
        <v>337.83067607808385</v>
      </c>
      <c r="E82">
        <v>341.47833251953125</v>
      </c>
      <c r="F82">
        <v>13360500</v>
      </c>
      <c r="G82">
        <v>345.39062257881864</v>
      </c>
      <c r="H82">
        <v>347.68777365000341</v>
      </c>
      <c r="I82">
        <v>45.267649025163287</v>
      </c>
      <c r="J82">
        <v>2.4035108848485587</v>
      </c>
      <c r="K82">
        <v>-2.2971510711847714</v>
      </c>
      <c r="L82">
        <v>-1.5037563957881048</v>
      </c>
      <c r="M82">
        <v>375.23943391187862</v>
      </c>
      <c r="N82">
        <v>344.46886444091797</v>
      </c>
      <c r="O82">
        <v>313.69829496995732</v>
      </c>
      <c r="P82">
        <v>9.4379056785130295</v>
      </c>
      <c r="Q82">
        <v>17.950090401298414</v>
      </c>
      <c r="R82">
        <v>-90.562094321486981</v>
      </c>
    </row>
    <row r="83" spans="1:18" x14ac:dyDescent="0.3">
      <c r="A83" s="20">
        <v>46254</v>
      </c>
      <c r="B83">
        <v>339.4696143612764</v>
      </c>
      <c r="C83">
        <v>340.57887956347082</v>
      </c>
      <c r="D83">
        <v>335.95190908752983</v>
      </c>
      <c r="E83">
        <v>337.9805908203125</v>
      </c>
      <c r="F83">
        <v>14187700</v>
      </c>
      <c r="G83">
        <v>344.25061617827618</v>
      </c>
      <c r="H83">
        <v>346.96730959505214</v>
      </c>
      <c r="I83">
        <v>43.031261589746819</v>
      </c>
      <c r="J83">
        <v>-5.1731358299530132</v>
      </c>
      <c r="K83">
        <v>-2.7166934167759678</v>
      </c>
      <c r="L83">
        <v>-1.7463438034145962</v>
      </c>
      <c r="M83">
        <v>373.84313221850772</v>
      </c>
      <c r="N83">
        <v>345.46122131347659</v>
      </c>
      <c r="O83">
        <v>317.07931040844545</v>
      </c>
      <c r="P83">
        <v>4.4478509288098937</v>
      </c>
      <c r="Q83">
        <v>11.976138477719788</v>
      </c>
      <c r="R83">
        <v>-95.552149071190101</v>
      </c>
    </row>
    <row r="84" spans="1:18" x14ac:dyDescent="0.3">
      <c r="A84" s="20">
        <v>46255</v>
      </c>
      <c r="B84">
        <v>340.05921185073862</v>
      </c>
      <c r="C84">
        <v>343.06726860468655</v>
      </c>
      <c r="D84">
        <v>337.59081326311713</v>
      </c>
      <c r="E84">
        <v>341.52825927734375</v>
      </c>
      <c r="F84">
        <v>15363900</v>
      </c>
      <c r="G84">
        <v>343.8317915688267</v>
      </c>
      <c r="H84">
        <v>346.56368376449848</v>
      </c>
      <c r="I84">
        <v>45.948085173190798</v>
      </c>
      <c r="J84">
        <v>-8.247645479962662</v>
      </c>
      <c r="K84">
        <v>-2.7318921956717759</v>
      </c>
      <c r="L84">
        <v>-1.9434534840949129</v>
      </c>
      <c r="M84">
        <v>372.1800990333694</v>
      </c>
      <c r="N84">
        <v>346.59348602294921</v>
      </c>
      <c r="O84">
        <v>321.00687301252901</v>
      </c>
      <c r="P84">
        <v>12.226054964822884</v>
      </c>
      <c r="Q84">
        <v>8.7039371907152692</v>
      </c>
      <c r="R84">
        <v>-87.773945035177121</v>
      </c>
    </row>
    <row r="85" spans="1:18" x14ac:dyDescent="0.3">
      <c r="A85" s="20">
        <v>46258</v>
      </c>
      <c r="B85">
        <v>340.51891636096491</v>
      </c>
      <c r="C85">
        <v>347.85415047115191</v>
      </c>
      <c r="D85">
        <v>339.39964790241993</v>
      </c>
      <c r="E85">
        <v>344.36642456054688</v>
      </c>
      <c r="F85">
        <v>16450600</v>
      </c>
      <c r="G85">
        <v>343.91404287656371</v>
      </c>
      <c r="H85">
        <v>346.40064959854362</v>
      </c>
      <c r="I85">
        <v>48.231669534110452</v>
      </c>
      <c r="J85">
        <v>-8.1950201476810527</v>
      </c>
      <c r="K85">
        <v>-2.4866067219799106</v>
      </c>
      <c r="L85">
        <v>-2.0520841326546133</v>
      </c>
      <c r="M85">
        <v>371.28677973195636</v>
      </c>
      <c r="N85">
        <v>347.49390106201173</v>
      </c>
      <c r="O85">
        <v>323.7010223920671</v>
      </c>
      <c r="P85">
        <v>18.448685102915306</v>
      </c>
      <c r="Q85">
        <v>11.707530332182694</v>
      </c>
      <c r="R85">
        <v>-81.551314897084694</v>
      </c>
    </row>
    <row r="86" spans="1:18" x14ac:dyDescent="0.3">
      <c r="A86" s="20">
        <v>46259</v>
      </c>
      <c r="B86">
        <v>345.74554715649305</v>
      </c>
      <c r="C86">
        <v>346.47508453547886</v>
      </c>
      <c r="D86">
        <v>341.92301649275311</v>
      </c>
      <c r="E86">
        <v>343.11724853515625</v>
      </c>
      <c r="F86">
        <v>14031000</v>
      </c>
      <c r="G86">
        <v>343.79145903306357</v>
      </c>
      <c r="H86">
        <v>346.15705532742527</v>
      </c>
      <c r="I86">
        <v>47.284782835984387</v>
      </c>
      <c r="J86">
        <v>-4.6622071037567441</v>
      </c>
      <c r="K86">
        <v>-2.3655962943616942</v>
      </c>
      <c r="L86">
        <v>-2.1147865654498075</v>
      </c>
      <c r="M86">
        <v>370.85285350811751</v>
      </c>
      <c r="N86">
        <v>348.03055267333986</v>
      </c>
      <c r="O86">
        <v>325.20825183856221</v>
      </c>
      <c r="P86">
        <v>27.801476620566007</v>
      </c>
      <c r="Q86">
        <v>19.492072229434733</v>
      </c>
      <c r="R86">
        <v>-72.198523379433993</v>
      </c>
    </row>
    <row r="87" spans="1:18" x14ac:dyDescent="0.3">
      <c r="A87" s="20">
        <v>46260</v>
      </c>
      <c r="B87">
        <v>342.95734444236746</v>
      </c>
      <c r="C87">
        <v>342.96835414056403</v>
      </c>
      <c r="D87">
        <v>336.79136449224518</v>
      </c>
      <c r="E87">
        <v>338.8800048828125</v>
      </c>
      <c r="F87">
        <v>16176400</v>
      </c>
      <c r="G87">
        <v>343.03585018763135</v>
      </c>
      <c r="H87">
        <v>345.61723610660988</v>
      </c>
      <c r="I87">
        <v>44.120667706978502</v>
      </c>
      <c r="J87">
        <v>-4.9127849276023543</v>
      </c>
      <c r="K87">
        <v>-2.5813859189785262</v>
      </c>
      <c r="L87">
        <v>-2.2081064366958363</v>
      </c>
      <c r="M87">
        <v>370.68153735140856</v>
      </c>
      <c r="N87">
        <v>348.19744415283202</v>
      </c>
      <c r="O87">
        <v>325.71335095425547</v>
      </c>
      <c r="P87">
        <v>13.704405124290375</v>
      </c>
      <c r="Q87">
        <v>19.984855615923895</v>
      </c>
      <c r="R87">
        <v>-86.295594875709625</v>
      </c>
    </row>
    <row r="88" spans="1:18" x14ac:dyDescent="0.3">
      <c r="A88" s="20">
        <v>46261</v>
      </c>
      <c r="B88">
        <v>336.08178643402755</v>
      </c>
      <c r="C88">
        <v>338.59016763122645</v>
      </c>
      <c r="D88">
        <v>335.18237648014912</v>
      </c>
      <c r="E88">
        <v>337.49087524414063</v>
      </c>
      <c r="F88">
        <v>17936100</v>
      </c>
      <c r="G88">
        <v>342.18277662778252</v>
      </c>
      <c r="H88">
        <v>345.01447862850898</v>
      </c>
      <c r="I88">
        <v>43.10236705308408</v>
      </c>
      <c r="J88">
        <v>-4.458656119789306</v>
      </c>
      <c r="K88">
        <v>-2.8317020007264659</v>
      </c>
      <c r="L88">
        <v>-2.3328255500796216</v>
      </c>
      <c r="M88">
        <v>370.3941194094441</v>
      </c>
      <c r="N88">
        <v>348.39881286621096</v>
      </c>
      <c r="O88">
        <v>326.40350632297782</v>
      </c>
      <c r="P88">
        <v>11.251807684410176</v>
      </c>
      <c r="Q88">
        <v>17.585896476422185</v>
      </c>
      <c r="R88">
        <v>-88.748192315589819</v>
      </c>
    </row>
    <row r="89" spans="1:18" x14ac:dyDescent="0.3">
      <c r="A89" s="20">
        <v>46262</v>
      </c>
      <c r="B89">
        <v>337.39093158932292</v>
      </c>
      <c r="C89">
        <v>345.20586500548376</v>
      </c>
      <c r="D89">
        <v>337.06115912446904</v>
      </c>
      <c r="E89">
        <v>342.65753173828125</v>
      </c>
      <c r="F89">
        <v>17841900</v>
      </c>
      <c r="G89">
        <v>342.25581591116782</v>
      </c>
      <c r="H89">
        <v>344.83967385415178</v>
      </c>
      <c r="I89">
        <v>47.917185193292326</v>
      </c>
      <c r="J89">
        <v>-3.6420884609443371</v>
      </c>
      <c r="K89">
        <v>-2.5838579429839683</v>
      </c>
      <c r="L89">
        <v>-2.3830320288465234</v>
      </c>
      <c r="M89">
        <v>369.50982210018117</v>
      </c>
      <c r="N89">
        <v>347.71075897216798</v>
      </c>
      <c r="O89">
        <v>325.91169584415479</v>
      </c>
      <c r="P89">
        <v>38.163267905304622</v>
      </c>
      <c r="Q89">
        <v>21.039826904668391</v>
      </c>
      <c r="R89">
        <v>-61.836732094695378</v>
      </c>
    </row>
    <row r="90" spans="1:18" x14ac:dyDescent="0.3">
      <c r="A90" s="20">
        <v>46265</v>
      </c>
      <c r="B90">
        <v>339.79937711156572</v>
      </c>
      <c r="C90">
        <v>340.40899718997184</v>
      </c>
      <c r="D90">
        <v>333.21365649767353</v>
      </c>
      <c r="E90">
        <v>335.1923828125</v>
      </c>
      <c r="F90">
        <v>23202000</v>
      </c>
      <c r="G90">
        <v>341.16913344761053</v>
      </c>
      <c r="H90">
        <v>344.12424071297039</v>
      </c>
      <c r="I90">
        <v>42.34187147870901</v>
      </c>
      <c r="J90">
        <v>-2.2128301198739431</v>
      </c>
      <c r="K90">
        <v>-2.9551072653598567</v>
      </c>
      <c r="L90">
        <v>-2.4974470764883483</v>
      </c>
      <c r="M90">
        <v>365.02148647410519</v>
      </c>
      <c r="N90">
        <v>345.85896148681638</v>
      </c>
      <c r="O90">
        <v>326.69643649952758</v>
      </c>
      <c r="P90">
        <v>13.515434099498183</v>
      </c>
      <c r="Q90">
        <v>20.976836563070993</v>
      </c>
      <c r="R90">
        <v>-86.484565900501821</v>
      </c>
    </row>
    <row r="91" spans="1:18" x14ac:dyDescent="0.3">
      <c r="A91" s="20">
        <v>46266</v>
      </c>
      <c r="B91">
        <v>332.03443367755335</v>
      </c>
      <c r="C91">
        <v>333.73334290375817</v>
      </c>
      <c r="D91">
        <v>329.07636268740362</v>
      </c>
      <c r="E91">
        <v>331.8145751953125</v>
      </c>
      <c r="F91">
        <v>16313400</v>
      </c>
      <c r="G91">
        <v>339.72997013710562</v>
      </c>
      <c r="H91">
        <v>343.21144612010755</v>
      </c>
      <c r="I91">
        <v>40.070026176891382</v>
      </c>
      <c r="J91">
        <v>-3.0201219265823531</v>
      </c>
      <c r="K91">
        <v>-3.4814759830019284</v>
      </c>
      <c r="L91">
        <v>-2.6942528582577738</v>
      </c>
      <c r="M91">
        <v>358.1481365805314</v>
      </c>
      <c r="N91">
        <v>343.69436645507813</v>
      </c>
      <c r="O91">
        <v>329.24059632962485</v>
      </c>
      <c r="P91">
        <v>14.582189017381154</v>
      </c>
      <c r="Q91">
        <v>22.08696367406132</v>
      </c>
      <c r="R91">
        <v>-85.417810982618846</v>
      </c>
    </row>
    <row r="92" spans="1:18" x14ac:dyDescent="0.3">
      <c r="A92" s="20">
        <v>46267</v>
      </c>
      <c r="B92">
        <v>330.55538914000641</v>
      </c>
      <c r="C92">
        <v>336.29168583062051</v>
      </c>
      <c r="D92">
        <v>329.30620012604203</v>
      </c>
      <c r="E92">
        <v>333.56344604492188</v>
      </c>
      <c r="F92">
        <v>12995900</v>
      </c>
      <c r="G92">
        <v>338.78127384265963</v>
      </c>
      <c r="H92">
        <v>342.4960773591809</v>
      </c>
      <c r="I92">
        <v>41.810863268739169</v>
      </c>
      <c r="J92">
        <v>-2.9540046208290316</v>
      </c>
      <c r="K92">
        <v>-3.7148035165212718</v>
      </c>
      <c r="L92">
        <v>-2.8983629902976986</v>
      </c>
      <c r="M92">
        <v>355.33749030700471</v>
      </c>
      <c r="N92">
        <v>342.37772064208986</v>
      </c>
      <c r="O92">
        <v>329.417950977175</v>
      </c>
      <c r="P92">
        <v>23.895697454849909</v>
      </c>
      <c r="Q92">
        <v>17.331106857243082</v>
      </c>
      <c r="R92">
        <v>-76.104302545150091</v>
      </c>
    </row>
    <row r="93" spans="1:18" x14ac:dyDescent="0.3">
      <c r="A93" s="20">
        <v>46268</v>
      </c>
      <c r="B93">
        <v>336.29167599230016</v>
      </c>
      <c r="C93">
        <v>340.62885646216557</v>
      </c>
      <c r="D93">
        <v>336.09179355680203</v>
      </c>
      <c r="E93">
        <v>338.8599853515625</v>
      </c>
      <c r="F93">
        <v>12858300</v>
      </c>
      <c r="G93">
        <v>338.79338330859474</v>
      </c>
      <c r="H93">
        <v>342.22649222846314</v>
      </c>
      <c r="I93">
        <v>46.846612925121178</v>
      </c>
      <c r="J93">
        <v>-1.2982524601515721</v>
      </c>
      <c r="K93">
        <v>-3.4331089198684026</v>
      </c>
      <c r="L93">
        <v>-3.005312176374157</v>
      </c>
      <c r="M93">
        <v>352.72622423572363</v>
      </c>
      <c r="N93">
        <v>341.50128936767578</v>
      </c>
      <c r="O93">
        <v>330.27635449962793</v>
      </c>
      <c r="P93">
        <v>52.102104767774428</v>
      </c>
      <c r="Q93">
        <v>30.193330413335165</v>
      </c>
      <c r="R93">
        <v>-47.897895232225572</v>
      </c>
    </row>
    <row r="94" spans="1:18" x14ac:dyDescent="0.3">
      <c r="A94" s="20">
        <v>46269</v>
      </c>
      <c r="B94">
        <v>339.17999267578125</v>
      </c>
      <c r="C94">
        <v>340.17999267578125</v>
      </c>
      <c r="D94">
        <v>333.75</v>
      </c>
      <c r="E94">
        <v>335.30999755859375</v>
      </c>
      <c r="F94">
        <v>12700500</v>
      </c>
      <c r="G94">
        <v>338.25747769524315</v>
      </c>
      <c r="H94">
        <v>341.71372783808738</v>
      </c>
      <c r="I94">
        <v>44.09235351601248</v>
      </c>
      <c r="J94">
        <v>-1.7344646789862583</v>
      </c>
      <c r="K94">
        <v>-3.456250142844226</v>
      </c>
      <c r="L94">
        <v>-3.0954997697776738</v>
      </c>
      <c r="M94">
        <v>350.68798685960894</v>
      </c>
      <c r="N94">
        <v>340.60475616455079</v>
      </c>
      <c r="O94">
        <v>330.52152546949264</v>
      </c>
      <c r="P94">
        <v>33.19685440574203</v>
      </c>
      <c r="Q94">
        <v>36.398218876122122</v>
      </c>
      <c r="R94">
        <v>-66.80314559425797</v>
      </c>
    </row>
    <row r="95" spans="1:18" x14ac:dyDescent="0.3">
      <c r="A95" s="20">
        <v>46273</v>
      </c>
      <c r="B95">
        <v>331.989990234375</v>
      </c>
      <c r="C95">
        <v>336.48001098632813</v>
      </c>
      <c r="D95">
        <v>330.3900146484375</v>
      </c>
      <c r="E95">
        <v>335.3800048828125</v>
      </c>
      <c r="F95">
        <v>14150300</v>
      </c>
      <c r="G95">
        <v>337.81478949102456</v>
      </c>
      <c r="H95">
        <v>341.24419736561856</v>
      </c>
      <c r="I95">
        <v>44.162073492269172</v>
      </c>
      <c r="J95">
        <v>-1.6649804349699315</v>
      </c>
      <c r="K95">
        <v>-3.4294078745940055</v>
      </c>
      <c r="L95">
        <v>-3.1622813908058074</v>
      </c>
      <c r="M95">
        <v>347.05754037097142</v>
      </c>
      <c r="N95">
        <v>339.59329986572266</v>
      </c>
      <c r="O95">
        <v>332.12905936047389</v>
      </c>
      <c r="P95">
        <v>33.569674276884356</v>
      </c>
      <c r="Q95">
        <v>39.622877816800276</v>
      </c>
      <c r="R95">
        <v>-66.430325723115644</v>
      </c>
    </row>
    <row r="96" spans="1:18" x14ac:dyDescent="0.3">
      <c r="A96" s="20">
        <v>46274</v>
      </c>
      <c r="B96">
        <v>329.1199951171875</v>
      </c>
      <c r="C96">
        <v>329.33999633789063</v>
      </c>
      <c r="D96">
        <v>325.6300048828125</v>
      </c>
      <c r="E96">
        <v>328.3800048828125</v>
      </c>
      <c r="F96">
        <v>19326900</v>
      </c>
      <c r="G96">
        <v>336.36328394686996</v>
      </c>
      <c r="H96">
        <v>340.29060631265781</v>
      </c>
      <c r="I96">
        <v>38.93386621607668</v>
      </c>
      <c r="J96">
        <v>-3.8357712303663027</v>
      </c>
      <c r="K96">
        <v>-3.9273223657878589</v>
      </c>
      <c r="L96">
        <v>-3.3152895859211156</v>
      </c>
      <c r="M96">
        <v>347.69780021238819</v>
      </c>
      <c r="N96">
        <v>338.87342681884763</v>
      </c>
      <c r="O96">
        <v>330.04905342530708</v>
      </c>
      <c r="P96">
        <v>12.373929018188546</v>
      </c>
      <c r="Q96">
        <v>26.38015256693831</v>
      </c>
      <c r="R96">
        <v>-87.626070981811452</v>
      </c>
    </row>
    <row r="97" spans="1:18" x14ac:dyDescent="0.3">
      <c r="A97" s="20">
        <v>46275</v>
      </c>
      <c r="B97">
        <v>326.07998657226563</v>
      </c>
      <c r="C97">
        <v>330.8900146484375</v>
      </c>
      <c r="D97">
        <v>325.6510009765625</v>
      </c>
      <c r="E97">
        <v>330.3900146484375</v>
      </c>
      <c r="F97">
        <v>16418900</v>
      </c>
      <c r="G97">
        <v>335.44431932166214</v>
      </c>
      <c r="H97">
        <v>339.55673896647011</v>
      </c>
      <c r="I97">
        <v>41.090486032381946</v>
      </c>
      <c r="J97">
        <v>-2.2458615607043986</v>
      </c>
      <c r="K97">
        <v>-4.1124196448079715</v>
      </c>
      <c r="L97">
        <v>-3.4747155977975939</v>
      </c>
      <c r="M97">
        <v>347.73584213781891</v>
      </c>
      <c r="N97">
        <v>338.28553466796876</v>
      </c>
      <c r="O97">
        <v>328.83522719811862</v>
      </c>
      <c r="P97">
        <v>21.418190169355654</v>
      </c>
      <c r="Q97">
        <v>22.453931154809521</v>
      </c>
      <c r="R97">
        <v>-78.581809830644346</v>
      </c>
    </row>
    <row r="98" spans="1:18" x14ac:dyDescent="0.3">
      <c r="A98" s="20">
        <v>46276</v>
      </c>
      <c r="B98">
        <v>332.73001098632813</v>
      </c>
      <c r="C98">
        <v>339.95001220703125</v>
      </c>
      <c r="D98">
        <v>332.54998779296875</v>
      </c>
      <c r="E98">
        <v>335.45001220703125</v>
      </c>
      <c r="F98">
        <v>15820700</v>
      </c>
      <c r="G98">
        <v>335.44519515027537</v>
      </c>
      <c r="H98">
        <v>339.25234872769647</v>
      </c>
      <c r="I98">
        <v>46.237868820894754</v>
      </c>
      <c r="J98">
        <v>-1.7797200978840744</v>
      </c>
      <c r="K98">
        <v>-3.8071535774211043</v>
      </c>
      <c r="L98">
        <v>-3.5412031937553614</v>
      </c>
      <c r="M98">
        <v>347.04122903227619</v>
      </c>
      <c r="N98">
        <v>337.8721923828125</v>
      </c>
      <c r="O98">
        <v>328.70315573334881</v>
      </c>
      <c r="P98">
        <v>44.186208577445257</v>
      </c>
      <c r="Q98">
        <v>25.992775921663153</v>
      </c>
      <c r="R98">
        <v>-55.81379142255475</v>
      </c>
    </row>
    <row r="99" spans="1:18" x14ac:dyDescent="0.3">
      <c r="A99" s="20">
        <v>46279</v>
      </c>
      <c r="B99">
        <v>339.1099853515625</v>
      </c>
      <c r="C99">
        <v>346.45001220703125</v>
      </c>
      <c r="D99">
        <v>338.739990234375</v>
      </c>
      <c r="E99">
        <v>345.70999145507813</v>
      </c>
      <c r="F99">
        <v>22484400</v>
      </c>
      <c r="G99">
        <v>337.02439472666816</v>
      </c>
      <c r="H99">
        <v>339.73096671809299</v>
      </c>
      <c r="I99">
        <v>54.852148581932646</v>
      </c>
      <c r="J99">
        <v>0.39015618210915815</v>
      </c>
      <c r="K99">
        <v>-2.7065719914248234</v>
      </c>
      <c r="L99">
        <v>-3.3742769532228407</v>
      </c>
      <c r="M99">
        <v>347.51561343177769</v>
      </c>
      <c r="N99">
        <v>337.99183654785156</v>
      </c>
      <c r="O99">
        <v>328.46805966392543</v>
      </c>
      <c r="P99">
        <v>96.329622658444165</v>
      </c>
      <c r="Q99">
        <v>53.97800713508169</v>
      </c>
      <c r="R99">
        <v>-3.6703773415558345</v>
      </c>
    </row>
    <row r="100" spans="1:18" x14ac:dyDescent="0.3">
      <c r="A100" s="20">
        <v>46280</v>
      </c>
      <c r="B100">
        <v>343.33999633789063</v>
      </c>
      <c r="C100">
        <v>344.3599853515625</v>
      </c>
      <c r="D100">
        <v>339.17999267578125</v>
      </c>
      <c r="E100">
        <v>341.42999267578125</v>
      </c>
      <c r="F100">
        <v>13361000</v>
      </c>
      <c r="G100">
        <v>337.70217907914866</v>
      </c>
      <c r="H100">
        <v>339.85688726076449</v>
      </c>
      <c r="I100">
        <v>51.168904806485109</v>
      </c>
      <c r="J100">
        <v>-0.49174323546200549</v>
      </c>
      <c r="K100">
        <v>-2.1547081816158311</v>
      </c>
      <c r="L100">
        <v>-3.1303631988238045</v>
      </c>
      <c r="M100">
        <v>347.54052092269944</v>
      </c>
      <c r="N100">
        <v>338.00191192626954</v>
      </c>
      <c r="O100">
        <v>328.46330292983964</v>
      </c>
      <c r="P100">
        <v>75.888483356052944</v>
      </c>
      <c r="Q100">
        <v>72.134771530647456</v>
      </c>
      <c r="R100">
        <v>-24.111516643947056</v>
      </c>
    </row>
    <row r="101" spans="1:18" x14ac:dyDescent="0.3">
      <c r="A101" s="20">
        <v>46281</v>
      </c>
      <c r="B101">
        <v>343.3599853515625</v>
      </c>
      <c r="C101">
        <v>344.70001220703125</v>
      </c>
      <c r="D101">
        <v>337.45001220703125</v>
      </c>
      <c r="E101">
        <v>339.3599853515625</v>
      </c>
      <c r="F101">
        <v>12869700</v>
      </c>
      <c r="G101">
        <v>337.95722621473499</v>
      </c>
      <c r="H101">
        <v>339.82006163193677</v>
      </c>
      <c r="I101">
        <v>49.439780275589769</v>
      </c>
      <c r="J101">
        <v>0.14163729397842495</v>
      </c>
      <c r="K101">
        <v>-1.8628354172017794</v>
      </c>
      <c r="L101">
        <v>-2.8768576424348495</v>
      </c>
      <c r="M101">
        <v>347.37087145994036</v>
      </c>
      <c r="N101">
        <v>337.91698303222654</v>
      </c>
      <c r="O101">
        <v>328.46309460451272</v>
      </c>
      <c r="P101">
        <v>65.946088562508237</v>
      </c>
      <c r="Q101">
        <v>79.388064859001773</v>
      </c>
      <c r="R101">
        <v>-34.053911437491756</v>
      </c>
    </row>
    <row r="102" spans="1:18" x14ac:dyDescent="0.3">
      <c r="A102" s="20">
        <v>46282</v>
      </c>
      <c r="B102">
        <v>345</v>
      </c>
      <c r="C102">
        <v>345.96499633789063</v>
      </c>
      <c r="D102">
        <v>340.5</v>
      </c>
      <c r="E102">
        <v>343.67999267578125</v>
      </c>
      <c r="F102">
        <v>15315700</v>
      </c>
      <c r="G102">
        <v>338.83765187306244</v>
      </c>
      <c r="H102">
        <v>340.10611248722699</v>
      </c>
      <c r="I102">
        <v>53.00868560443255</v>
      </c>
      <c r="J102">
        <v>1.8338621532103305</v>
      </c>
      <c r="K102">
        <v>-1.2684606141645531</v>
      </c>
      <c r="L102">
        <v>-2.5551782367152627</v>
      </c>
      <c r="M102">
        <v>347.70419844506802</v>
      </c>
      <c r="N102">
        <v>338.02706604003907</v>
      </c>
      <c r="O102">
        <v>328.34993363501013</v>
      </c>
      <c r="P102">
        <v>86.695395980827584</v>
      </c>
      <c r="Q102">
        <v>76.176655966462917</v>
      </c>
      <c r="R102">
        <v>-13.30460401917242</v>
      </c>
    </row>
    <row r="103" spans="1:18" x14ac:dyDescent="0.3">
      <c r="A103" s="20">
        <v>46283</v>
      </c>
      <c r="B103">
        <v>351.22000122070313</v>
      </c>
      <c r="C103">
        <v>355.1300048828125</v>
      </c>
      <c r="D103">
        <v>343.8699951171875</v>
      </c>
      <c r="E103">
        <v>344.41000366210938</v>
      </c>
      <c r="F103">
        <v>34108900</v>
      </c>
      <c r="G103">
        <v>339.69493680400387</v>
      </c>
      <c r="H103">
        <v>340.42505348991938</v>
      </c>
      <c r="I103">
        <v>53.604663294132287</v>
      </c>
      <c r="J103">
        <v>0.51143540167872814</v>
      </c>
      <c r="K103">
        <v>-0.7301166859155046</v>
      </c>
      <c r="L103">
        <v>-2.1901659264958275</v>
      </c>
      <c r="M103">
        <v>348.43756772728273</v>
      </c>
      <c r="N103">
        <v>338.34853668212889</v>
      </c>
      <c r="O103">
        <v>328.25950563697506</v>
      </c>
      <c r="P103">
        <v>63.661012811175844</v>
      </c>
      <c r="Q103">
        <v>72.100832451503891</v>
      </c>
      <c r="R103">
        <v>-36.338987188824149</v>
      </c>
    </row>
    <row r="104" spans="1:18" x14ac:dyDescent="0.3">
      <c r="A104" s="20">
        <v>46286</v>
      </c>
      <c r="B104">
        <v>346.19000244140625</v>
      </c>
      <c r="C104">
        <v>353.29998779296875</v>
      </c>
      <c r="D104">
        <v>344.79998779296875</v>
      </c>
      <c r="E104">
        <v>350.8699951171875</v>
      </c>
      <c r="F104">
        <v>18252200</v>
      </c>
      <c r="G104">
        <v>341.41417661291132</v>
      </c>
      <c r="H104">
        <v>341.19905453024359</v>
      </c>
      <c r="I104">
        <v>58.607551079644608</v>
      </c>
      <c r="J104">
        <v>4.6771982624250974</v>
      </c>
      <c r="K104">
        <v>0.21512208266773314</v>
      </c>
      <c r="L104">
        <v>-1.7091083246004</v>
      </c>
      <c r="M104">
        <v>350.29382693180725</v>
      </c>
      <c r="N104">
        <v>338.81562347412108</v>
      </c>
      <c r="O104">
        <v>327.33742001643492</v>
      </c>
      <c r="P104">
        <v>85.559288930084747</v>
      </c>
      <c r="Q104">
        <v>78.638565907362732</v>
      </c>
      <c r="R104">
        <v>-14.440711069915254</v>
      </c>
    </row>
    <row r="105" spans="1:18" x14ac:dyDescent="0.3">
      <c r="A105" s="20">
        <v>46287</v>
      </c>
      <c r="B105">
        <v>353.239990234375</v>
      </c>
      <c r="C105">
        <v>359.98001098632813</v>
      </c>
      <c r="D105">
        <v>345.739990234375</v>
      </c>
      <c r="E105">
        <v>347.41000366210938</v>
      </c>
      <c r="F105">
        <v>20165100</v>
      </c>
      <c r="G105">
        <v>342.33661157461825</v>
      </c>
      <c r="H105">
        <v>341.65929092273456</v>
      </c>
      <c r="I105">
        <v>55.175747502891355</v>
      </c>
      <c r="J105">
        <v>4.7000432267380265</v>
      </c>
      <c r="K105">
        <v>0.67732065188369006</v>
      </c>
      <c r="L105">
        <v>-1.231822529253803</v>
      </c>
      <c r="M105">
        <v>350.83014704392929</v>
      </c>
      <c r="N105">
        <v>338.9678024291992</v>
      </c>
      <c r="O105">
        <v>327.1054578144691</v>
      </c>
      <c r="P105">
        <v>63.406098717018146</v>
      </c>
      <c r="Q105">
        <v>70.875466819426251</v>
      </c>
      <c r="R105">
        <v>-36.593901282981854</v>
      </c>
    </row>
    <row r="106" spans="1:18" x14ac:dyDescent="0.3">
      <c r="A106" s="20">
        <v>46288</v>
      </c>
      <c r="B106">
        <v>346.29998779296875</v>
      </c>
      <c r="C106">
        <v>346.32998657226563</v>
      </c>
      <c r="D106">
        <v>334.20001220703125</v>
      </c>
      <c r="E106">
        <v>334.98001098632813</v>
      </c>
      <c r="F106">
        <v>23283400</v>
      </c>
      <c r="G106">
        <v>341.20482683648004</v>
      </c>
      <c r="H106">
        <v>341.1643640707394</v>
      </c>
      <c r="I106">
        <v>44.984788382510978</v>
      </c>
      <c r="J106">
        <v>0.4246763121686481</v>
      </c>
      <c r="K106">
        <v>4.0462765740642226E-2</v>
      </c>
      <c r="L106">
        <v>-0.97736547023368281</v>
      </c>
      <c r="M106">
        <v>350.3821626785558</v>
      </c>
      <c r="N106">
        <v>338.56094055175782</v>
      </c>
      <c r="O106">
        <v>326.73971842495985</v>
      </c>
      <c r="P106">
        <v>27.219809147453628</v>
      </c>
      <c r="Q106">
        <v>58.728398931518846</v>
      </c>
      <c r="R106">
        <v>-72.780190852546383</v>
      </c>
    </row>
    <row r="107" spans="1:18" x14ac:dyDescent="0.3">
      <c r="A107" s="20">
        <v>46289</v>
      </c>
      <c r="B107">
        <v>333</v>
      </c>
      <c r="C107">
        <v>339.30999755859375</v>
      </c>
      <c r="D107">
        <v>332.80999755859375</v>
      </c>
      <c r="E107">
        <v>339.010009765625</v>
      </c>
      <c r="F107">
        <v>15965000</v>
      </c>
      <c r="G107">
        <v>340.86716266359235</v>
      </c>
      <c r="H107">
        <v>341.00473288213522</v>
      </c>
      <c r="I107">
        <v>48.317725915585214</v>
      </c>
      <c r="J107">
        <v>4.4273275260531264E-2</v>
      </c>
      <c r="K107">
        <v>-0.13757021854286222</v>
      </c>
      <c r="L107">
        <v>-0.80940641988430773</v>
      </c>
      <c r="M107">
        <v>350.38954458730927</v>
      </c>
      <c r="N107">
        <v>338.56744079589845</v>
      </c>
      <c r="O107">
        <v>326.74533700448762</v>
      </c>
      <c r="P107">
        <v>38.951972359163847</v>
      </c>
      <c r="Q107">
        <v>43.192626741211875</v>
      </c>
      <c r="R107">
        <v>-61.048027640836153</v>
      </c>
    </row>
    <row r="108" spans="1:18" x14ac:dyDescent="0.3">
      <c r="A108" s="20">
        <v>46290</v>
      </c>
      <c r="B108">
        <v>338.92498779296875</v>
      </c>
      <c r="C108">
        <v>343.60000610351563</v>
      </c>
      <c r="D108">
        <v>337.91000366210938</v>
      </c>
      <c r="E108">
        <v>341.07998657226563</v>
      </c>
      <c r="F108">
        <v>13858700</v>
      </c>
      <c r="G108">
        <v>340.89990480405618</v>
      </c>
      <c r="H108">
        <v>341.01030882690333</v>
      </c>
      <c r="I108">
        <v>49.993502327803718</v>
      </c>
      <c r="J108">
        <v>1.7207924176682488</v>
      </c>
      <c r="K108">
        <v>-0.11040402284714901</v>
      </c>
      <c r="L108">
        <v>-0.66960594046941069</v>
      </c>
      <c r="M108">
        <v>350.60908718370337</v>
      </c>
      <c r="N108">
        <v>338.74689636230471</v>
      </c>
      <c r="O108">
        <v>326.88470554090605</v>
      </c>
      <c r="P108">
        <v>44.978104641069812</v>
      </c>
      <c r="Q108">
        <v>37.049962049229094</v>
      </c>
      <c r="R108">
        <v>-55.02189535893018</v>
      </c>
    </row>
    <row r="109" spans="1:18" x14ac:dyDescent="0.3">
      <c r="A109" s="20">
        <v>46293</v>
      </c>
      <c r="B109">
        <v>337.60000610351563</v>
      </c>
      <c r="C109">
        <v>340.1099853515625</v>
      </c>
      <c r="D109">
        <v>336.60000610351563</v>
      </c>
      <c r="E109">
        <v>339.16000366210938</v>
      </c>
      <c r="F109">
        <v>13870800</v>
      </c>
      <c r="G109">
        <v>340.63222770067466</v>
      </c>
      <c r="H109">
        <v>340.87321282011897</v>
      </c>
      <c r="I109">
        <v>48.425085751239394</v>
      </c>
      <c r="J109">
        <v>1.1270793500696819</v>
      </c>
      <c r="K109">
        <v>-0.24098511944430356</v>
      </c>
      <c r="L109">
        <v>-0.58388177626072724</v>
      </c>
      <c r="M109">
        <v>350.2937578942217</v>
      </c>
      <c r="N109">
        <v>338.57201995849607</v>
      </c>
      <c r="O109">
        <v>326.85028202277044</v>
      </c>
      <c r="P109">
        <v>39.388635735677838</v>
      </c>
      <c r="Q109">
        <v>41.10623757863717</v>
      </c>
      <c r="R109">
        <v>-60.611364264322155</v>
      </c>
    </row>
    <row r="110" spans="1:18" x14ac:dyDescent="0.3">
      <c r="A110" s="20">
        <v>46294</v>
      </c>
      <c r="B110">
        <v>338.54000854492188</v>
      </c>
      <c r="C110">
        <v>339.6400146484375</v>
      </c>
      <c r="D110">
        <v>335.01998901367188</v>
      </c>
      <c r="E110">
        <v>337.32000732421875</v>
      </c>
      <c r="F110">
        <v>14002300</v>
      </c>
      <c r="G110">
        <v>340.12265532762331</v>
      </c>
      <c r="H110">
        <v>340.60994775421511</v>
      </c>
      <c r="I110">
        <v>46.906344704060189</v>
      </c>
      <c r="J110">
        <v>2.7224563945653868</v>
      </c>
      <c r="K110">
        <v>-0.48729242659180727</v>
      </c>
      <c r="L110">
        <v>-0.56456390632628306</v>
      </c>
      <c r="M110">
        <v>350.30926000384829</v>
      </c>
      <c r="N110">
        <v>338.67840118408202</v>
      </c>
      <c r="O110">
        <v>327.04754236431575</v>
      </c>
      <c r="P110">
        <v>33.991677430653404</v>
      </c>
      <c r="Q110">
        <v>39.452805935800349</v>
      </c>
      <c r="R110">
        <v>-66.008322569346603</v>
      </c>
    </row>
    <row r="111" spans="1:18" x14ac:dyDescent="0.3">
      <c r="A111" s="20">
        <v>46295</v>
      </c>
      <c r="B111">
        <v>340.64999389648438</v>
      </c>
      <c r="C111">
        <v>349.05499267578125</v>
      </c>
      <c r="D111">
        <v>337.72000122070313</v>
      </c>
      <c r="E111">
        <v>340.739990234375</v>
      </c>
      <c r="F111">
        <v>24240100</v>
      </c>
      <c r="G111">
        <v>340.21762992983577</v>
      </c>
      <c r="H111">
        <v>340.61958272161667</v>
      </c>
      <c r="I111">
        <v>50.042555242324887</v>
      </c>
      <c r="J111">
        <v>3.1326538718038144</v>
      </c>
      <c r="K111">
        <v>-0.40195279178090004</v>
      </c>
      <c r="L111">
        <v>-0.5320416834163173</v>
      </c>
      <c r="M111">
        <v>350.3235445835507</v>
      </c>
      <c r="N111">
        <v>339.12467193603516</v>
      </c>
      <c r="O111">
        <v>327.92579928851961</v>
      </c>
      <c r="P111">
        <v>29.85780355952814</v>
      </c>
      <c r="Q111">
        <v>34.412705575286459</v>
      </c>
      <c r="R111">
        <v>-70.142196440471864</v>
      </c>
    </row>
    <row r="112" spans="1:18" x14ac:dyDescent="0.3">
      <c r="A112" s="20">
        <v>46296</v>
      </c>
      <c r="B112">
        <v>347.7550048828125</v>
      </c>
      <c r="C112">
        <v>350.093994140625</v>
      </c>
      <c r="D112">
        <v>332.64999389648438</v>
      </c>
      <c r="E112">
        <v>334.92999267578125</v>
      </c>
      <c r="F112">
        <v>20045000</v>
      </c>
      <c r="G112">
        <v>339.40414726685884</v>
      </c>
      <c r="H112">
        <v>340.19804284542084</v>
      </c>
      <c r="I112">
        <v>45.161967395095424</v>
      </c>
      <c r="J112">
        <v>-0.15502146738007871</v>
      </c>
      <c r="K112">
        <v>-0.79389557856200099</v>
      </c>
      <c r="L112">
        <v>-0.5844124624465995</v>
      </c>
      <c r="M112">
        <v>350.26496275942014</v>
      </c>
      <c r="N112">
        <v>339.1929992675781</v>
      </c>
      <c r="O112">
        <v>328.12103577573606</v>
      </c>
      <c r="P112">
        <v>8.342471107140863</v>
      </c>
      <c r="Q112">
        <v>24.0639840324408</v>
      </c>
      <c r="R112">
        <v>-91.657528892859148</v>
      </c>
    </row>
    <row r="113" spans="1:18" x14ac:dyDescent="0.3">
      <c r="A113" s="20">
        <v>46297</v>
      </c>
      <c r="B113">
        <v>338.10000610351563</v>
      </c>
      <c r="C113">
        <v>342.77999877929688</v>
      </c>
      <c r="D113">
        <v>337.95999145507813</v>
      </c>
      <c r="E113">
        <v>340.35000610351563</v>
      </c>
      <c r="F113">
        <v>17497900</v>
      </c>
      <c r="G113">
        <v>339.54966401224755</v>
      </c>
      <c r="H113">
        <v>340.20930157814917</v>
      </c>
      <c r="I113">
        <v>50.055571182491292</v>
      </c>
      <c r="J113">
        <v>-1.5504282444954942</v>
      </c>
      <c r="K113">
        <v>-0.65963756590161893</v>
      </c>
      <c r="L113">
        <v>-0.59945748313786651</v>
      </c>
      <c r="M113">
        <v>350.35007593579923</v>
      </c>
      <c r="N113">
        <v>339.26750030517576</v>
      </c>
      <c r="O113">
        <v>328.18492467455229</v>
      </c>
      <c r="P113">
        <v>28.17419462899894</v>
      </c>
      <c r="Q113">
        <v>22.124823098555982</v>
      </c>
      <c r="R113">
        <v>-71.825805371001067</v>
      </c>
    </row>
    <row r="114" spans="1:18" x14ac:dyDescent="0.3">
      <c r="A114" s="20">
        <v>46300</v>
      </c>
      <c r="B114">
        <v>339.20999145507813</v>
      </c>
      <c r="C114">
        <v>344.989990234375</v>
      </c>
      <c r="D114">
        <v>339.14999389648438</v>
      </c>
      <c r="E114">
        <v>343.82998657226563</v>
      </c>
      <c r="F114">
        <v>13982200</v>
      </c>
      <c r="G114">
        <v>340.20817518025768</v>
      </c>
      <c r="H114">
        <v>340.47754889217515</v>
      </c>
      <c r="I114">
        <v>52.95820311018997</v>
      </c>
      <c r="J114">
        <v>0.70292415662598362</v>
      </c>
      <c r="K114">
        <v>-0.26937371191746706</v>
      </c>
      <c r="L114">
        <v>-0.53344072889286254</v>
      </c>
      <c r="M114">
        <v>350.79054995374952</v>
      </c>
      <c r="N114">
        <v>339.69349975585936</v>
      </c>
      <c r="O114">
        <v>328.59644955796921</v>
      </c>
      <c r="P114">
        <v>40.907375355926526</v>
      </c>
      <c r="Q114">
        <v>25.808013697355445</v>
      </c>
      <c r="R114">
        <v>-59.092624644073474</v>
      </c>
    </row>
    <row r="115" spans="1:18" x14ac:dyDescent="0.3">
      <c r="A115" s="20">
        <v>46301</v>
      </c>
      <c r="B115">
        <v>344.6400146484375</v>
      </c>
      <c r="C115">
        <v>345.67001342773438</v>
      </c>
      <c r="D115">
        <v>341.70001220703125</v>
      </c>
      <c r="E115">
        <v>344.58999633789063</v>
      </c>
      <c r="F115">
        <v>13177400</v>
      </c>
      <c r="G115">
        <v>340.88230151647207</v>
      </c>
      <c r="H115">
        <v>340.78222555668384</v>
      </c>
      <c r="I115">
        <v>53.592539708029484</v>
      </c>
      <c r="J115">
        <v>1.5411395603727618</v>
      </c>
      <c r="K115">
        <v>0.10007595978822792</v>
      </c>
      <c r="L115">
        <v>-0.40673739115522561</v>
      </c>
      <c r="M115">
        <v>351.26174653805191</v>
      </c>
      <c r="N115">
        <v>340.15399932861328</v>
      </c>
      <c r="O115">
        <v>329.04625211917465</v>
      </c>
      <c r="P115">
        <v>43.688236279381385</v>
      </c>
      <c r="Q115">
        <v>37.589935421435619</v>
      </c>
      <c r="R115">
        <v>-56.311763720618615</v>
      </c>
    </row>
    <row r="116" spans="1:18" x14ac:dyDescent="0.3">
      <c r="A116" s="20">
        <v>46302</v>
      </c>
      <c r="B116">
        <v>343.67999267578125</v>
      </c>
      <c r="C116">
        <v>347.6099853515625</v>
      </c>
      <c r="D116">
        <v>340.27999877929688</v>
      </c>
      <c r="E116">
        <v>347.3699951171875</v>
      </c>
      <c r="F116">
        <v>11344700</v>
      </c>
      <c r="G116">
        <v>341.880408229625</v>
      </c>
      <c r="H116">
        <v>341.27028402478629</v>
      </c>
      <c r="I116">
        <v>55.933297796102764</v>
      </c>
      <c r="J116">
        <v>1.0736739176107069</v>
      </c>
      <c r="K116">
        <v>0.6101242048387121</v>
      </c>
      <c r="L116">
        <v>-0.20336507195461612</v>
      </c>
      <c r="M116">
        <v>351.17145103772435</v>
      </c>
      <c r="N116">
        <v>341.10349884033201</v>
      </c>
      <c r="O116">
        <v>331.03554664293966</v>
      </c>
      <c r="P116">
        <v>53.860197643905984</v>
      </c>
      <c r="Q116">
        <v>46.151936426404632</v>
      </c>
      <c r="R116">
        <v>-46.139802356094023</v>
      </c>
    </row>
    <row r="117" spans="1:18" x14ac:dyDescent="0.3">
      <c r="A117" s="20">
        <v>46303</v>
      </c>
      <c r="B117">
        <v>349.64498901367188</v>
      </c>
      <c r="C117">
        <v>353.52999877929688</v>
      </c>
      <c r="D117">
        <v>343.510009765625</v>
      </c>
      <c r="E117">
        <v>344.8599853515625</v>
      </c>
      <c r="F117">
        <v>13987000</v>
      </c>
      <c r="G117">
        <v>342.3388047120024</v>
      </c>
      <c r="H117">
        <v>341.53622593817016</v>
      </c>
      <c r="I117">
        <v>53.318362063111145</v>
      </c>
      <c r="J117">
        <v>0.13065290922693595</v>
      </c>
      <c r="K117">
        <v>0.80257877383223786</v>
      </c>
      <c r="L117">
        <v>-2.1763027958033965E-3</v>
      </c>
      <c r="M117">
        <v>350.65686101697293</v>
      </c>
      <c r="N117">
        <v>341.8269973754883</v>
      </c>
      <c r="O117">
        <v>332.99713373400368</v>
      </c>
      <c r="P117">
        <v>44.676120819608059</v>
      </c>
      <c r="Q117">
        <v>47.408184914298481</v>
      </c>
      <c r="R117">
        <v>-55.323879180391934</v>
      </c>
    </row>
    <row r="118" spans="1:18" x14ac:dyDescent="0.3">
      <c r="A118" s="20">
        <v>46304</v>
      </c>
      <c r="B118">
        <v>348</v>
      </c>
      <c r="C118">
        <v>351.05999755859375</v>
      </c>
      <c r="D118">
        <v>346.8800048828125</v>
      </c>
      <c r="E118">
        <v>347.8599853515625</v>
      </c>
      <c r="F118">
        <v>11142900</v>
      </c>
      <c r="G118">
        <v>343.18821712134871</v>
      </c>
      <c r="H118">
        <v>342.00471472604477</v>
      </c>
      <c r="I118">
        <v>55.968017262690914</v>
      </c>
      <c r="J118">
        <v>-0.85787038148408268</v>
      </c>
      <c r="K118">
        <v>1.1835023953039467</v>
      </c>
      <c r="L118">
        <v>0.23495943682550632</v>
      </c>
      <c r="M118">
        <v>351.13349770585586</v>
      </c>
      <c r="N118">
        <v>342.44749603271487</v>
      </c>
      <c r="O118">
        <v>333.76149435957387</v>
      </c>
      <c r="P118">
        <v>55.653062363910443</v>
      </c>
      <c r="Q118">
        <v>51.39646027580816</v>
      </c>
      <c r="R118">
        <v>-44.346937636089557</v>
      </c>
    </row>
    <row r="119" spans="1:18" x14ac:dyDescent="0.3">
      <c r="A119" s="20">
        <v>46307</v>
      </c>
      <c r="B119">
        <v>348.33999633789063</v>
      </c>
      <c r="C119">
        <v>352.66000366210938</v>
      </c>
      <c r="D119">
        <v>347.16000366210938</v>
      </c>
      <c r="E119">
        <v>348.97000122070313</v>
      </c>
      <c r="F119">
        <v>11854200</v>
      </c>
      <c r="G119">
        <v>344.07772237029207</v>
      </c>
      <c r="H119">
        <v>342.5207252723269</v>
      </c>
      <c r="I119">
        <v>56.941865106725636</v>
      </c>
      <c r="J119">
        <v>0.44903645322516006</v>
      </c>
      <c r="K119">
        <v>1.5569970979651657</v>
      </c>
      <c r="L119">
        <v>0.49936696905465106</v>
      </c>
      <c r="M119">
        <v>351.66866275141911</v>
      </c>
      <c r="N119">
        <v>342.61049652099609</v>
      </c>
      <c r="O119">
        <v>333.55233029057308</v>
      </c>
      <c r="P119">
        <v>78.160936339879214</v>
      </c>
      <c r="Q119">
        <v>59.496706507799239</v>
      </c>
      <c r="R119">
        <v>-21.839063660120782</v>
      </c>
    </row>
    <row r="120" spans="1:18" x14ac:dyDescent="0.3">
      <c r="A120" s="20">
        <v>46308</v>
      </c>
      <c r="B120">
        <v>352.41500854492188</v>
      </c>
      <c r="C120">
        <v>354.5</v>
      </c>
      <c r="D120">
        <v>347.57000732421875</v>
      </c>
      <c r="E120">
        <v>349.51998901367188</v>
      </c>
      <c r="F120">
        <v>14445100</v>
      </c>
      <c r="G120">
        <v>344.91499416388211</v>
      </c>
      <c r="H120">
        <v>343.03924824132753</v>
      </c>
      <c r="I120">
        <v>57.444082065738151</v>
      </c>
      <c r="J120">
        <v>4.3405509434821798</v>
      </c>
      <c r="K120">
        <v>1.8757459225545858</v>
      </c>
      <c r="L120">
        <v>0.77464275975564822</v>
      </c>
      <c r="M120">
        <v>352.56061399942354</v>
      </c>
      <c r="N120">
        <v>343.01499633789064</v>
      </c>
      <c r="O120">
        <v>333.46937867635774</v>
      </c>
      <c r="P120">
        <v>77.208194072189059</v>
      </c>
      <c r="Q120">
        <v>70.340730925326241</v>
      </c>
      <c r="R120">
        <v>-22.791805927810934</v>
      </c>
    </row>
    <row r="121" spans="1:18" x14ac:dyDescent="0.3">
      <c r="A121" s="20">
        <v>46309</v>
      </c>
      <c r="B121">
        <v>351.42999267578125</v>
      </c>
      <c r="C121">
        <v>355.25</v>
      </c>
      <c r="D121">
        <v>342.39999389648438</v>
      </c>
      <c r="E121">
        <v>343.64999389648438</v>
      </c>
      <c r="F121">
        <v>20106400</v>
      </c>
      <c r="G121">
        <v>344.72037873767607</v>
      </c>
      <c r="H121">
        <v>343.08449342613392</v>
      </c>
      <c r="I121">
        <v>50.653389836831977</v>
      </c>
      <c r="J121">
        <v>1.3686864685993338</v>
      </c>
      <c r="K121">
        <v>1.6358853115421539</v>
      </c>
      <c r="L121">
        <v>0.94689127011345497</v>
      </c>
      <c r="M121">
        <v>352.62085098046373</v>
      </c>
      <c r="N121">
        <v>343.22949676513673</v>
      </c>
      <c r="O121">
        <v>333.83814254980973</v>
      </c>
      <c r="P121">
        <v>48.672553226827915</v>
      </c>
      <c r="Q121">
        <v>68.013894546298729</v>
      </c>
      <c r="R121">
        <v>-51.327446773172078</v>
      </c>
    </row>
    <row r="122" spans="1:18" x14ac:dyDescent="0.3">
      <c r="A122" s="20">
        <v>46310</v>
      </c>
      <c r="B122">
        <v>340.52999877929688</v>
      </c>
      <c r="C122">
        <v>348.39801025390625</v>
      </c>
      <c r="D122">
        <v>336.82000732421875</v>
      </c>
      <c r="E122">
        <v>344.91000366210938</v>
      </c>
      <c r="F122">
        <v>16425700</v>
      </c>
      <c r="G122">
        <v>344.74955180303095</v>
      </c>
      <c r="H122">
        <v>343.21972959649787</v>
      </c>
      <c r="I122">
        <v>51.966007647159174</v>
      </c>
      <c r="J122">
        <v>1.122908772318798</v>
      </c>
      <c r="K122">
        <v>1.5298222065330833</v>
      </c>
      <c r="L122">
        <v>1.0634774573976544</v>
      </c>
      <c r="M122">
        <v>352.71083972014355</v>
      </c>
      <c r="N122">
        <v>343.29099731445314</v>
      </c>
      <c r="O122">
        <v>333.87115490876272</v>
      </c>
      <c r="P122">
        <v>54.247816170801165</v>
      </c>
      <c r="Q122">
        <v>60.04285448993938</v>
      </c>
      <c r="R122">
        <v>-45.752183829198835</v>
      </c>
    </row>
    <row r="123" spans="1:18" x14ac:dyDescent="0.3">
      <c r="A123" s="20">
        <v>46311</v>
      </c>
      <c r="B123">
        <v>344.29998779296875</v>
      </c>
      <c r="C123">
        <v>346.60000610351563</v>
      </c>
      <c r="D123">
        <v>335.5</v>
      </c>
      <c r="E123">
        <v>336.91000366210938</v>
      </c>
      <c r="F123">
        <v>17040300</v>
      </c>
      <c r="G123">
        <v>343.54346747165044</v>
      </c>
      <c r="H123">
        <v>342.75230027770203</v>
      </c>
      <c r="I123">
        <v>43.968987462995528</v>
      </c>
      <c r="J123">
        <v>-0.66340369610373706</v>
      </c>
      <c r="K123">
        <v>0.79116719394841084</v>
      </c>
      <c r="L123">
        <v>1.0090154047077033</v>
      </c>
      <c r="M123">
        <v>352.73687948930319</v>
      </c>
      <c r="N123">
        <v>342.91599731445314</v>
      </c>
      <c r="O123">
        <v>333.09511513960308</v>
      </c>
      <c r="P123">
        <v>18.849595642199045</v>
      </c>
      <c r="Q123">
        <v>40.589988346609374</v>
      </c>
      <c r="R123">
        <v>-81.150404357800952</v>
      </c>
    </row>
    <row r="124" spans="1:18" x14ac:dyDescent="0.3">
      <c r="A124" s="20">
        <v>46314</v>
      </c>
      <c r="B124">
        <v>340.125</v>
      </c>
      <c r="C124">
        <v>342.51998901367188</v>
      </c>
      <c r="D124">
        <v>338.25100708007813</v>
      </c>
      <c r="E124">
        <v>340.16000366210938</v>
      </c>
      <c r="F124">
        <v>12720600</v>
      </c>
      <c r="G124">
        <v>343.0229345771416</v>
      </c>
      <c r="H124">
        <v>342.56026224826473</v>
      </c>
      <c r="I124">
        <v>47.503406361907118</v>
      </c>
      <c r="J124">
        <v>0.84192940715814846</v>
      </c>
      <c r="K124">
        <v>0.46267232887686305</v>
      </c>
      <c r="L124">
        <v>0.89974678954137099</v>
      </c>
      <c r="M124">
        <v>351.51954555465784</v>
      </c>
      <c r="N124">
        <v>342.38049774169923</v>
      </c>
      <c r="O124">
        <v>333.24144992874062</v>
      </c>
      <c r="P124">
        <v>33.230122731943659</v>
      </c>
      <c r="Q124">
        <v>35.442511514981291</v>
      </c>
      <c r="R124">
        <v>-66.769877268056348</v>
      </c>
    </row>
    <row r="125" spans="1:18" x14ac:dyDescent="0.3">
      <c r="A125" s="20">
        <v>46315</v>
      </c>
      <c r="B125">
        <v>339.71499633789063</v>
      </c>
      <c r="C125">
        <v>341</v>
      </c>
      <c r="D125">
        <v>334.60000610351563</v>
      </c>
      <c r="E125">
        <v>336.39999389648438</v>
      </c>
      <c r="F125">
        <v>14790300</v>
      </c>
      <c r="G125">
        <v>342.00402062505674</v>
      </c>
      <c r="H125">
        <v>342.10391074129871</v>
      </c>
      <c r="I125">
        <v>44.042042190533579</v>
      </c>
      <c r="J125">
        <v>-1.2736973828359255</v>
      </c>
      <c r="K125">
        <v>-9.9890116241965643E-2</v>
      </c>
      <c r="L125">
        <v>0.69981940838446333</v>
      </c>
      <c r="M125">
        <v>351.01969293125035</v>
      </c>
      <c r="N125">
        <v>341.82999725341796</v>
      </c>
      <c r="O125">
        <v>332.64030157558557</v>
      </c>
      <c r="P125">
        <v>16.592915872782243</v>
      </c>
      <c r="Q125">
        <v>22.890878082308319</v>
      </c>
      <c r="R125">
        <v>-83.407084127217757</v>
      </c>
    </row>
    <row r="126" spans="1:18" x14ac:dyDescent="0.3">
      <c r="A126" s="20">
        <v>46316</v>
      </c>
      <c r="B126">
        <v>333.32000732421875</v>
      </c>
      <c r="C126">
        <v>333.79998779296875</v>
      </c>
      <c r="D126">
        <v>326.260009765625</v>
      </c>
      <c r="E126">
        <v>330.95001220703125</v>
      </c>
      <c r="F126">
        <v>19298100</v>
      </c>
      <c r="G126">
        <v>340.30340394364521</v>
      </c>
      <c r="H126">
        <v>341.27763680005899</v>
      </c>
      <c r="I126">
        <v>39.544275556695936</v>
      </c>
      <c r="J126">
        <v>-1.1883021992009857</v>
      </c>
      <c r="K126">
        <v>-0.97423285641377788</v>
      </c>
      <c r="L126">
        <v>0.36500895542449308</v>
      </c>
      <c r="M126">
        <v>351.59454097686569</v>
      </c>
      <c r="N126">
        <v>341.62849731445311</v>
      </c>
      <c r="O126">
        <v>331.66245365204054</v>
      </c>
      <c r="P126">
        <v>16.1780062824756</v>
      </c>
      <c r="Q126">
        <v>22.000348295733833</v>
      </c>
      <c r="R126">
        <v>-83.821993717524407</v>
      </c>
    </row>
    <row r="127" spans="1:18" x14ac:dyDescent="0.3">
      <c r="A127" s="20">
        <v>46317</v>
      </c>
      <c r="B127">
        <v>326.7650146484375</v>
      </c>
      <c r="C127">
        <v>327.70001220703125</v>
      </c>
      <c r="D127">
        <v>318.45001220703125</v>
      </c>
      <c r="E127">
        <v>320.760009765625</v>
      </c>
      <c r="F127">
        <v>21094100</v>
      </c>
      <c r="G127">
        <v>337.29672791369154</v>
      </c>
      <c r="H127">
        <v>339.75771168420965</v>
      </c>
      <c r="I127">
        <v>32.799588638090313</v>
      </c>
      <c r="J127">
        <v>-5.7558383977029948</v>
      </c>
      <c r="K127">
        <v>-2.4609837705181121</v>
      </c>
      <c r="L127">
        <v>-0.20018958976446277</v>
      </c>
      <c r="M127">
        <v>354.35621490314458</v>
      </c>
      <c r="N127">
        <v>340.71599731445315</v>
      </c>
      <c r="O127">
        <v>327.07577972576172</v>
      </c>
      <c r="P127">
        <v>6.2771693610048249</v>
      </c>
      <c r="Q127">
        <v>13.016030505420892</v>
      </c>
      <c r="R127">
        <v>-93.722830638995177</v>
      </c>
    </row>
    <row r="128" spans="1:18" x14ac:dyDescent="0.3">
      <c r="A128" s="20">
        <v>46318</v>
      </c>
      <c r="B128">
        <v>317.75</v>
      </c>
      <c r="C128">
        <v>321.23001098632813</v>
      </c>
      <c r="D128">
        <v>316.989990234375</v>
      </c>
      <c r="E128">
        <v>317.27999877929688</v>
      </c>
      <c r="F128">
        <v>10825000</v>
      </c>
      <c r="G128">
        <v>334.21723112156087</v>
      </c>
      <c r="H128">
        <v>338.09259357195759</v>
      </c>
      <c r="I128">
        <v>30.863545640239877</v>
      </c>
      <c r="J128">
        <v>-7.7218360322939716</v>
      </c>
      <c r="K128">
        <v>-3.8753624503967217</v>
      </c>
      <c r="L128">
        <v>-0.93522416189136692</v>
      </c>
      <c r="M128">
        <v>356.72180747297386</v>
      </c>
      <c r="N128">
        <v>339.5259979248047</v>
      </c>
      <c r="O128">
        <v>322.33018837663553</v>
      </c>
      <c r="P128">
        <v>0.75799391243866177</v>
      </c>
      <c r="Q128">
        <v>7.7377231853063648</v>
      </c>
      <c r="R128">
        <v>-99.242006087561336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E5A1-8328-40BB-9147-C8C9FF31263B}">
  <dimension ref="A1:R159"/>
  <sheetViews>
    <sheetView workbookViewId="0"/>
  </sheetViews>
  <sheetFormatPr defaultRowHeight="14.4" x14ac:dyDescent="0.3"/>
  <cols>
    <col min="1" max="1" width="13.77734375" customWidth="1"/>
    <col min="2" max="26" width="12.77734375" customWidth="1"/>
  </cols>
  <sheetData>
    <row r="1" spans="1:18" x14ac:dyDescent="0.3">
      <c r="A1" s="16" t="s">
        <v>464</v>
      </c>
    </row>
    <row r="2" spans="1:18" x14ac:dyDescent="0.3">
      <c r="A2" t="s">
        <v>387</v>
      </c>
      <c r="B2" t="s">
        <v>388</v>
      </c>
      <c r="C2" t="s">
        <v>180</v>
      </c>
      <c r="D2" t="s">
        <v>389</v>
      </c>
      <c r="E2" t="s">
        <v>390</v>
      </c>
      <c r="F2" t="s">
        <v>391</v>
      </c>
      <c r="G2" t="s">
        <v>382</v>
      </c>
      <c r="H2" t="s">
        <v>383</v>
      </c>
      <c r="I2" t="s">
        <v>384</v>
      </c>
      <c r="J2" t="s">
        <v>392</v>
      </c>
      <c r="K2" t="s">
        <v>385</v>
      </c>
      <c r="L2" t="s">
        <v>386</v>
      </c>
      <c r="M2" t="s">
        <v>458</v>
      </c>
      <c r="N2" t="s">
        <v>459</v>
      </c>
      <c r="O2" t="s">
        <v>460</v>
      </c>
      <c r="P2" t="s">
        <v>461</v>
      </c>
      <c r="Q2" t="s">
        <v>462</v>
      </c>
      <c r="R2" t="s">
        <v>463</v>
      </c>
    </row>
    <row r="3" spans="1:18" x14ac:dyDescent="0.3">
      <c r="A3" s="20">
        <v>45226</v>
      </c>
      <c r="B3">
        <v>128.55241075316619</v>
      </c>
      <c r="C3">
        <v>128.8793162747686</v>
      </c>
      <c r="D3">
        <v>120.32036481556621</v>
      </c>
      <c r="E3">
        <v>122.24216461181641</v>
      </c>
      <c r="F3">
        <v>130071200</v>
      </c>
      <c r="G3">
        <v>122.24216461181641</v>
      </c>
      <c r="H3">
        <v>122.24216461181641</v>
      </c>
      <c r="K3">
        <v>0</v>
      </c>
      <c r="L3">
        <v>0</v>
      </c>
    </row>
    <row r="4" spans="1:18" x14ac:dyDescent="0.3">
      <c r="A4" s="20">
        <v>45233</v>
      </c>
      <c r="B4">
        <v>123.29220192587081</v>
      </c>
      <c r="C4">
        <v>129.50338182846431</v>
      </c>
      <c r="D4">
        <v>122.71764220067561</v>
      </c>
      <c r="E4">
        <v>129.14675903320313</v>
      </c>
      <c r="F4">
        <v>115446700</v>
      </c>
      <c r="G4">
        <v>125.98215325673419</v>
      </c>
      <c r="H4">
        <v>125.82724248445952</v>
      </c>
      <c r="I4">
        <v>100</v>
      </c>
      <c r="K4">
        <v>0.15491077227467542</v>
      </c>
      <c r="L4">
        <v>8.6061540152597454E-2</v>
      </c>
    </row>
    <row r="5" spans="1:18" x14ac:dyDescent="0.3">
      <c r="A5" s="20">
        <v>45240</v>
      </c>
      <c r="B5">
        <v>128.99814386227274</v>
      </c>
      <c r="C5">
        <v>133.01017554489323</v>
      </c>
      <c r="D5">
        <v>128.71085647440276</v>
      </c>
      <c r="E5">
        <v>132.80213928222656</v>
      </c>
      <c r="F5">
        <v>88527200</v>
      </c>
      <c r="G5">
        <v>128.64399537753837</v>
      </c>
      <c r="H5">
        <v>128.33325518311511</v>
      </c>
      <c r="I5">
        <v>100</v>
      </c>
      <c r="K5">
        <v>0.31074019442326062</v>
      </c>
      <c r="L5">
        <v>0.17814295583729545</v>
      </c>
    </row>
    <row r="6" spans="1:18" x14ac:dyDescent="0.3">
      <c r="A6" s="20">
        <v>45247</v>
      </c>
      <c r="B6">
        <v>132.10870628274628</v>
      </c>
      <c r="C6">
        <v>137.57692430634432</v>
      </c>
      <c r="D6">
        <v>131.52424578069497</v>
      </c>
      <c r="E6">
        <v>135.65510559082031</v>
      </c>
      <c r="F6">
        <v>97748500</v>
      </c>
      <c r="G6">
        <v>130.85712887446084</v>
      </c>
      <c r="H6">
        <v>130.38012459532484</v>
      </c>
      <c r="I6">
        <v>100</v>
      </c>
      <c r="K6">
        <v>0.47700427913599697</v>
      </c>
      <c r="L6">
        <v>0.27938324150758725</v>
      </c>
    </row>
    <row r="7" spans="1:18" x14ac:dyDescent="0.3">
      <c r="A7" s="20">
        <v>45254</v>
      </c>
      <c r="B7">
        <v>134.22863882903837</v>
      </c>
      <c r="C7">
        <v>139.776075531819</v>
      </c>
      <c r="D7">
        <v>134.21873809805422</v>
      </c>
      <c r="E7">
        <v>136.923095703125</v>
      </c>
      <c r="F7">
        <v>63352500</v>
      </c>
      <c r="G7">
        <v>132.50523038218506</v>
      </c>
      <c r="H7">
        <v>131.89746658235529</v>
      </c>
      <c r="I7">
        <v>100</v>
      </c>
      <c r="K7">
        <v>0.60776379982976891</v>
      </c>
      <c r="L7">
        <v>0.37706903348824578</v>
      </c>
    </row>
    <row r="8" spans="1:18" x14ac:dyDescent="0.3">
      <c r="A8" s="20">
        <v>45261</v>
      </c>
      <c r="B8">
        <v>136.27922291617651</v>
      </c>
      <c r="C8">
        <v>138.35950065561099</v>
      </c>
      <c r="D8">
        <v>130.9120213970279</v>
      </c>
      <c r="E8">
        <v>132.06907653808594</v>
      </c>
      <c r="F8">
        <v>110129500</v>
      </c>
      <c r="G8">
        <v>132.39922205210047</v>
      </c>
      <c r="H8">
        <v>131.93183868777624</v>
      </c>
      <c r="I8">
        <v>70.673111739251453</v>
      </c>
      <c r="K8">
        <v>0.46738336432423466</v>
      </c>
      <c r="L8">
        <v>0.40154923852445579</v>
      </c>
    </row>
    <row r="9" spans="1:18" x14ac:dyDescent="0.3">
      <c r="A9" s="20">
        <v>45268</v>
      </c>
      <c r="B9">
        <v>130.06208331653545</v>
      </c>
      <c r="C9">
        <v>138.6864149603806</v>
      </c>
      <c r="D9">
        <v>128.18584225969249</v>
      </c>
      <c r="E9">
        <v>135.35792541503906</v>
      </c>
      <c r="F9">
        <v>121148300</v>
      </c>
      <c r="G9">
        <v>133.05944635582705</v>
      </c>
      <c r="H9">
        <v>132.54115045185713</v>
      </c>
      <c r="I9">
        <v>75.842558193392591</v>
      </c>
      <c r="K9">
        <v>0.51829590396991421</v>
      </c>
      <c r="L9">
        <v>0.43109470503107683</v>
      </c>
    </row>
    <row r="10" spans="1:18" x14ac:dyDescent="0.3">
      <c r="A10" s="20">
        <v>45275</v>
      </c>
      <c r="B10">
        <v>132.56439389804078</v>
      </c>
      <c r="C10">
        <v>133.76799981935181</v>
      </c>
      <c r="D10">
        <v>129.83029032687446</v>
      </c>
      <c r="E10">
        <v>132.58419799804688</v>
      </c>
      <c r="F10">
        <v>164714500</v>
      </c>
      <c r="G10">
        <v>132.96026934861169</v>
      </c>
      <c r="H10">
        <v>132.54808647819442</v>
      </c>
      <c r="I10">
        <v>65.37606120265329</v>
      </c>
      <c r="K10">
        <v>0.41218287041726853</v>
      </c>
      <c r="L10">
        <v>0.42654983553624998</v>
      </c>
    </row>
    <row r="11" spans="1:18" x14ac:dyDescent="0.3">
      <c r="A11" s="20">
        <v>45282</v>
      </c>
      <c r="B11">
        <v>132.60402891819217</v>
      </c>
      <c r="C11">
        <v>141.90591580638187</v>
      </c>
      <c r="D11">
        <v>132.51487699127028</v>
      </c>
      <c r="E11">
        <v>141.38088989257813</v>
      </c>
      <c r="F11">
        <v>116483100</v>
      </c>
      <c r="G11">
        <v>134.62616780713716</v>
      </c>
      <c r="H11">
        <v>133.85730185018326</v>
      </c>
      <c r="I11">
        <v>76.467653526057362</v>
      </c>
      <c r="K11">
        <v>0.7688659569539027</v>
      </c>
      <c r="L11">
        <v>0.50562655782276333</v>
      </c>
    </row>
    <row r="12" spans="1:18" x14ac:dyDescent="0.3">
      <c r="A12" s="20">
        <v>45289</v>
      </c>
      <c r="B12">
        <v>141.63845248467709</v>
      </c>
      <c r="C12">
        <v>142.59440963440269</v>
      </c>
      <c r="D12">
        <v>138.58736186717886</v>
      </c>
      <c r="E12">
        <v>139.60769653320313</v>
      </c>
      <c r="F12">
        <v>55532000</v>
      </c>
      <c r="G12">
        <v>135.57016556468341</v>
      </c>
      <c r="H12">
        <v>134.65080034964328</v>
      </c>
      <c r="I12">
        <v>71.495788973747949</v>
      </c>
      <c r="K12">
        <v>0.91936521504013058</v>
      </c>
      <c r="L12">
        <v>0.59832803453554428</v>
      </c>
    </row>
    <row r="13" spans="1:18" x14ac:dyDescent="0.3">
      <c r="A13" s="20">
        <v>45296</v>
      </c>
      <c r="B13">
        <v>138.2901824735398</v>
      </c>
      <c r="C13">
        <v>139.76619144167066</v>
      </c>
      <c r="D13">
        <v>135.56594929852221</v>
      </c>
      <c r="E13">
        <v>136.10087585449219</v>
      </c>
      <c r="F13">
        <v>72739000</v>
      </c>
      <c r="G13">
        <v>135.6672727513895</v>
      </c>
      <c r="H13">
        <v>134.83887560200677</v>
      </c>
      <c r="I13">
        <v>62.799396329650762</v>
      </c>
      <c r="K13">
        <v>0.82839714938273801</v>
      </c>
      <c r="L13">
        <v>0.64866584226389501</v>
      </c>
    </row>
    <row r="14" spans="1:18" x14ac:dyDescent="0.3">
      <c r="A14" s="20">
        <v>45303</v>
      </c>
      <c r="B14">
        <v>136.70516562078507</v>
      </c>
      <c r="C14">
        <v>145.28391109280847</v>
      </c>
      <c r="D14">
        <v>136.58629640072127</v>
      </c>
      <c r="E14">
        <v>142.88662719726563</v>
      </c>
      <c r="F14">
        <v>85336700</v>
      </c>
      <c r="G14">
        <v>136.95085027173943</v>
      </c>
      <c r="H14">
        <v>135.82766868917045</v>
      </c>
      <c r="I14">
        <v>70.321919737920382</v>
      </c>
      <c r="K14">
        <v>1.123181582568975</v>
      </c>
      <c r="L14">
        <v>0.75057192285966923</v>
      </c>
    </row>
    <row r="15" spans="1:18" x14ac:dyDescent="0.3">
      <c r="A15" s="20">
        <v>45310</v>
      </c>
      <c r="B15">
        <v>142.08423906803708</v>
      </c>
      <c r="C15">
        <v>146.65095460230188</v>
      </c>
      <c r="D15">
        <v>139.19162720716656</v>
      </c>
      <c r="E15">
        <v>146.58161926269531</v>
      </c>
      <c r="F15">
        <v>83141200</v>
      </c>
      <c r="G15">
        <v>138.62311763650447</v>
      </c>
      <c r="H15">
        <v>137.08749205913057</v>
      </c>
      <c r="I15">
        <v>73.468090688473438</v>
      </c>
      <c r="K15">
        <v>1.5356255773739065</v>
      </c>
      <c r="L15">
        <v>0.91671655130597862</v>
      </c>
    </row>
    <row r="16" spans="1:18" x14ac:dyDescent="0.3">
      <c r="A16" s="20">
        <v>45317</v>
      </c>
      <c r="B16">
        <v>147.31471403821985</v>
      </c>
      <c r="C16">
        <v>153.30789634477043</v>
      </c>
      <c r="D16">
        <v>145.80896303916296</v>
      </c>
      <c r="E16">
        <v>152.34700012207031</v>
      </c>
      <c r="F16">
        <v>96177400</v>
      </c>
      <c r="G16">
        <v>140.95985664482058</v>
      </c>
      <c r="H16">
        <v>138.80131641444137</v>
      </c>
      <c r="I16">
        <v>77.479709626819982</v>
      </c>
      <c r="K16">
        <v>2.1585402303792023</v>
      </c>
      <c r="L16">
        <v>1.176506991512299</v>
      </c>
      <c r="P16">
        <v>97.087092673638153</v>
      </c>
      <c r="R16">
        <v>-2.9129073263618483</v>
      </c>
    </row>
    <row r="17" spans="1:18" x14ac:dyDescent="0.3">
      <c r="A17" s="20">
        <v>45324</v>
      </c>
      <c r="B17">
        <v>152.19840851580327</v>
      </c>
      <c r="C17">
        <v>153.74376875174261</v>
      </c>
      <c r="D17">
        <v>136.87356711542847</v>
      </c>
      <c r="E17">
        <v>142.19317626953125</v>
      </c>
      <c r="F17">
        <v>159059800</v>
      </c>
      <c r="G17">
        <v>141.16645879565476</v>
      </c>
      <c r="H17">
        <v>139.16823256569776</v>
      </c>
      <c r="I17">
        <v>60.212439035330938</v>
      </c>
      <c r="J17">
        <v>16.320891994239361</v>
      </c>
      <c r="K17">
        <v>1.9982262299569982</v>
      </c>
      <c r="L17">
        <v>1.3468440413429958</v>
      </c>
      <c r="P17">
        <v>62.7714002158799</v>
      </c>
      <c r="R17">
        <v>-37.228599784120107</v>
      </c>
    </row>
    <row r="18" spans="1:18" x14ac:dyDescent="0.3">
      <c r="A18" s="20">
        <v>45331</v>
      </c>
      <c r="B18">
        <v>142.68848077802488</v>
      </c>
      <c r="C18">
        <v>149.28108087869731</v>
      </c>
      <c r="D18">
        <v>142.55971083333344</v>
      </c>
      <c r="E18">
        <v>148.81053161621094</v>
      </c>
      <c r="F18">
        <v>112327200</v>
      </c>
      <c r="G18">
        <v>142.42970209936345</v>
      </c>
      <c r="H18">
        <v>140.17689625597737</v>
      </c>
      <c r="I18">
        <v>65.594012276882694</v>
      </c>
      <c r="J18">
        <v>15.225912543382014</v>
      </c>
      <c r="K18">
        <v>2.2528058433860849</v>
      </c>
      <c r="L18">
        <v>1.5332842264270603</v>
      </c>
      <c r="P18">
        <v>80.697819374877028</v>
      </c>
      <c r="Q18">
        <v>80.185437421465025</v>
      </c>
      <c r="R18">
        <v>-19.302180625122975</v>
      </c>
    </row>
    <row r="19" spans="1:18" x14ac:dyDescent="0.3">
      <c r="A19" s="20">
        <v>45338</v>
      </c>
      <c r="B19">
        <v>148.1368854067089</v>
      </c>
      <c r="C19">
        <v>149.17703646153288</v>
      </c>
      <c r="D19">
        <v>140.19214741527534</v>
      </c>
      <c r="E19">
        <v>140.42988586425781</v>
      </c>
      <c r="F19">
        <v>100615800</v>
      </c>
      <c r="G19">
        <v>142.10294555652555</v>
      </c>
      <c r="H19">
        <v>140.20257691054297</v>
      </c>
      <c r="I19">
        <v>55.378089182386965</v>
      </c>
      <c r="J19">
        <v>5.7436925513835391</v>
      </c>
      <c r="K19">
        <v>1.9003686459825815</v>
      </c>
      <c r="L19">
        <v>1.6083923959597644</v>
      </c>
      <c r="P19">
        <v>47.907030362474337</v>
      </c>
      <c r="Q19">
        <v>63.792083317743753</v>
      </c>
      <c r="R19">
        <v>-52.092969637525663</v>
      </c>
    </row>
    <row r="20" spans="1:18" x14ac:dyDescent="0.3">
      <c r="A20" s="20">
        <v>45345</v>
      </c>
      <c r="B20">
        <v>139.61759615248047</v>
      </c>
      <c r="C20">
        <v>144.82823004027227</v>
      </c>
      <c r="D20">
        <v>139.47891034357639</v>
      </c>
      <c r="E20">
        <v>143.92677307128906</v>
      </c>
      <c r="F20">
        <v>72610500</v>
      </c>
      <c r="G20">
        <v>142.39812857353172</v>
      </c>
      <c r="H20">
        <v>140.57052092527664</v>
      </c>
      <c r="I20">
        <v>58.296677870682345</v>
      </c>
      <c r="J20">
        <v>6.0975718123126077</v>
      </c>
      <c r="K20">
        <v>1.827607648255082</v>
      </c>
      <c r="L20">
        <v>1.6530397414936662</v>
      </c>
      <c r="P20">
        <v>61.589232665227534</v>
      </c>
      <c r="Q20">
        <v>63.398027467526298</v>
      </c>
      <c r="R20">
        <v>-38.410767334772466</v>
      </c>
    </row>
    <row r="21" spans="1:18" x14ac:dyDescent="0.3">
      <c r="A21" s="20">
        <v>45352</v>
      </c>
      <c r="B21">
        <v>142.10403315477777</v>
      </c>
      <c r="C21">
        <v>142.49037325499361</v>
      </c>
      <c r="D21">
        <v>135.35793723037909</v>
      </c>
      <c r="E21">
        <v>136.784423828125</v>
      </c>
      <c r="F21">
        <v>150542200</v>
      </c>
      <c r="G21">
        <v>141.49677372206136</v>
      </c>
      <c r="H21">
        <v>140.20548638069579</v>
      </c>
      <c r="I21">
        <v>50.964446152077009</v>
      </c>
      <c r="J21">
        <v>-0.1012771981877103</v>
      </c>
      <c r="K21">
        <v>1.2912873413655745</v>
      </c>
      <c r="L21">
        <v>1.5796313348348494</v>
      </c>
      <c r="P21">
        <v>33.643502226626751</v>
      </c>
      <c r="Q21">
        <v>47.7132550847762</v>
      </c>
      <c r="R21">
        <v>-66.356497773373263</v>
      </c>
    </row>
    <row r="22" spans="1:18" x14ac:dyDescent="0.3">
      <c r="A22" s="20">
        <v>45359</v>
      </c>
      <c r="B22">
        <v>135.25889810687804</v>
      </c>
      <c r="C22">
        <v>137.68093589208488</v>
      </c>
      <c r="D22">
        <v>130.31570794200201</v>
      </c>
      <c r="E22">
        <v>135.01121520996094</v>
      </c>
      <c r="F22">
        <v>145796800</v>
      </c>
      <c r="G22">
        <v>140.46237932790177</v>
      </c>
      <c r="H22">
        <v>139.71562712887564</v>
      </c>
      <c r="I22">
        <v>49.306390806922849</v>
      </c>
      <c r="J22">
        <v>2.2277271477903815</v>
      </c>
      <c r="K22">
        <v>0.74675219902613321</v>
      </c>
      <c r="L22">
        <v>1.4111126191608128</v>
      </c>
      <c r="M22">
        <v>152.1970055369533</v>
      </c>
      <c r="N22">
        <v>138.14205894470214</v>
      </c>
      <c r="O22">
        <v>124.08711235245097</v>
      </c>
      <c r="P22">
        <v>26.705503485940074</v>
      </c>
      <c r="Q22">
        <v>40.64607945926479</v>
      </c>
      <c r="R22">
        <v>-73.294496514059929</v>
      </c>
    </row>
    <row r="23" spans="1:18" x14ac:dyDescent="0.3">
      <c r="A23" s="20">
        <v>45366</v>
      </c>
      <c r="B23">
        <v>135.78390326115144</v>
      </c>
      <c r="C23">
        <v>143.37204267069654</v>
      </c>
      <c r="D23">
        <v>135.78390326115144</v>
      </c>
      <c r="E23">
        <v>140.8360595703125</v>
      </c>
      <c r="F23">
        <v>138350500</v>
      </c>
      <c r="G23">
        <v>140.52164372471725</v>
      </c>
      <c r="H23">
        <v>139.81919684365556</v>
      </c>
      <c r="I23">
        <v>54.538584829669006</v>
      </c>
      <c r="J23">
        <v>4.0471469538825966</v>
      </c>
      <c r="K23">
        <v>0.70244688106168951</v>
      </c>
      <c r="L23">
        <v>1.2680600444233545</v>
      </c>
      <c r="M23">
        <v>150.99684083312181</v>
      </c>
      <c r="N23">
        <v>139.07175369262694</v>
      </c>
      <c r="O23">
        <v>127.14666655213207</v>
      </c>
      <c r="P23">
        <v>46.023288824401639</v>
      </c>
      <c r="Q23">
        <v>35.45743151232282</v>
      </c>
      <c r="R23">
        <v>-53.976711175598361</v>
      </c>
    </row>
    <row r="24" spans="1:18" x14ac:dyDescent="0.3">
      <c r="A24" s="20">
        <v>45373</v>
      </c>
      <c r="B24">
        <v>147.96848647279865</v>
      </c>
      <c r="C24">
        <v>151.49508128977445</v>
      </c>
      <c r="D24">
        <v>145.63062398549712</v>
      </c>
      <c r="E24">
        <v>150.34597778320313</v>
      </c>
      <c r="F24">
        <v>122251900</v>
      </c>
      <c r="G24">
        <v>142.07238257894227</v>
      </c>
      <c r="H24">
        <v>140.77471731464865</v>
      </c>
      <c r="I24">
        <v>61.521352141256465</v>
      </c>
      <c r="J24">
        <v>13.39660385879311</v>
      </c>
      <c r="K24">
        <v>1.2976652642936131</v>
      </c>
      <c r="L24">
        <v>1.2740251027592089</v>
      </c>
      <c r="M24">
        <v>152.11080919910356</v>
      </c>
      <c r="N24">
        <v>140.13171463012696</v>
      </c>
      <c r="O24">
        <v>128.15262006115037</v>
      </c>
      <c r="P24">
        <v>85.496917580447828</v>
      </c>
      <c r="Q24">
        <v>52.741903296929848</v>
      </c>
      <c r="R24">
        <v>-14.503082419552177</v>
      </c>
    </row>
    <row r="25" spans="1:18" x14ac:dyDescent="0.3">
      <c r="A25" s="20">
        <v>45380</v>
      </c>
      <c r="B25">
        <v>149.53369106979085</v>
      </c>
      <c r="C25">
        <v>151.76258320990701</v>
      </c>
      <c r="D25">
        <v>147.40386974075122</v>
      </c>
      <c r="E25">
        <v>150.83137512207031</v>
      </c>
      <c r="F25">
        <v>72155000</v>
      </c>
      <c r="G25">
        <v>143.44945172626487</v>
      </c>
      <c r="H25">
        <v>141.6725735740923</v>
      </c>
      <c r="I25">
        <v>61.843502349380458</v>
      </c>
      <c r="J25">
        <v>6.684414871537947</v>
      </c>
      <c r="K25">
        <v>1.7768781521725714</v>
      </c>
      <c r="L25">
        <v>1.3751929019217701</v>
      </c>
      <c r="M25">
        <v>153.39718402826682</v>
      </c>
      <c r="N25">
        <v>141.03317642211914</v>
      </c>
      <c r="O25">
        <v>128.66916881597146</v>
      </c>
      <c r="P25">
        <v>87.568780645893582</v>
      </c>
      <c r="Q25">
        <v>73.029662350247676</v>
      </c>
      <c r="R25">
        <v>-12.431219354106419</v>
      </c>
    </row>
    <row r="26" spans="1:18" x14ac:dyDescent="0.3">
      <c r="A26" s="20">
        <v>45387</v>
      </c>
      <c r="B26">
        <v>150.40542016892036</v>
      </c>
      <c r="C26">
        <v>155.52690958138851</v>
      </c>
      <c r="D26">
        <v>149.66342234926154</v>
      </c>
      <c r="E26">
        <v>152.49560546875</v>
      </c>
      <c r="F26">
        <v>99816200</v>
      </c>
      <c r="G26">
        <v>144.86688868013587</v>
      </c>
      <c r="H26">
        <v>142.62437867383747</v>
      </c>
      <c r="I26">
        <v>62.98766004373136</v>
      </c>
      <c r="J26">
        <v>9.2315174990955651</v>
      </c>
      <c r="K26">
        <v>2.2425100062984029</v>
      </c>
      <c r="L26">
        <v>1.5494793673598997</v>
      </c>
      <c r="M26">
        <v>154.96927208201049</v>
      </c>
      <c r="N26">
        <v>141.87520141601561</v>
      </c>
      <c r="O26">
        <v>128.78113075002074</v>
      </c>
      <c r="P26">
        <v>87.976360048214374</v>
      </c>
      <c r="Q26">
        <v>87.014019424851924</v>
      </c>
      <c r="R26">
        <v>-12.023639951785627</v>
      </c>
    </row>
    <row r="27" spans="1:18" x14ac:dyDescent="0.3">
      <c r="A27" s="20">
        <v>45394</v>
      </c>
      <c r="B27">
        <v>152.56988083388026</v>
      </c>
      <c r="C27">
        <v>160.18280925821207</v>
      </c>
      <c r="D27">
        <v>152.5451214544477</v>
      </c>
      <c r="E27">
        <v>157.69636535644531</v>
      </c>
      <c r="F27">
        <v>89333700</v>
      </c>
      <c r="G27">
        <v>146.87143293025827</v>
      </c>
      <c r="H27">
        <v>143.93171692412841</v>
      </c>
      <c r="I27">
        <v>66.380381546723797</v>
      </c>
      <c r="J27">
        <v>15.867267103439687</v>
      </c>
      <c r="K27">
        <v>2.9397160061298564</v>
      </c>
      <c r="L27">
        <v>1.8285811116920869</v>
      </c>
      <c r="M27">
        <v>157.55784481652645</v>
      </c>
      <c r="N27">
        <v>142.91386489868165</v>
      </c>
      <c r="O27">
        <v>128.26988498083685</v>
      </c>
      <c r="P27">
        <v>91.674974161562602</v>
      </c>
      <c r="Q27">
        <v>89.073371618556848</v>
      </c>
      <c r="R27">
        <v>-8.3250258384373907</v>
      </c>
    </row>
    <row r="28" spans="1:18" x14ac:dyDescent="0.3">
      <c r="A28" s="20">
        <v>45401</v>
      </c>
      <c r="B28">
        <v>158.77612463959565</v>
      </c>
      <c r="C28">
        <v>159.32096712626364</v>
      </c>
      <c r="D28">
        <v>152.46588134323349</v>
      </c>
      <c r="E28">
        <v>154.25889587402344</v>
      </c>
      <c r="F28">
        <v>88287900</v>
      </c>
      <c r="G28">
        <v>148.0229261191555</v>
      </c>
      <c r="H28">
        <v>144.81628882367278</v>
      </c>
      <c r="I28">
        <v>62.314563341398546</v>
      </c>
      <c r="J28">
        <v>7.9589454239531898</v>
      </c>
      <c r="K28">
        <v>3.2066372954827216</v>
      </c>
      <c r="L28">
        <v>2.105027857472018</v>
      </c>
      <c r="M28">
        <v>158.56983376329154</v>
      </c>
      <c r="N28">
        <v>144.02335586547852</v>
      </c>
      <c r="O28">
        <v>129.4768779676655</v>
      </c>
      <c r="P28">
        <v>80.165757227423029</v>
      </c>
      <c r="Q28">
        <v>86.605697145733345</v>
      </c>
      <c r="R28">
        <v>-19.834242772576971</v>
      </c>
    </row>
    <row r="29" spans="1:18" x14ac:dyDescent="0.3">
      <c r="A29" s="20">
        <v>45408</v>
      </c>
      <c r="B29">
        <v>154.54621737572913</v>
      </c>
      <c r="C29">
        <v>174.76469893851416</v>
      </c>
      <c r="D29">
        <v>151.33464648063361</v>
      </c>
      <c r="E29">
        <v>172.06031799316406</v>
      </c>
      <c r="F29">
        <v>145543600</v>
      </c>
      <c r="G29">
        <v>151.7620925556715</v>
      </c>
      <c r="H29">
        <v>147.12315419457403</v>
      </c>
      <c r="I29">
        <v>71.90992982422901</v>
      </c>
      <c r="J29">
        <v>17.381919273798751</v>
      </c>
      <c r="K29">
        <v>4.6389383610974733</v>
      </c>
      <c r="L29">
        <v>2.613038251962172</v>
      </c>
      <c r="M29">
        <v>164.48911449667486</v>
      </c>
      <c r="N29">
        <v>145.85847549438478</v>
      </c>
      <c r="O29">
        <v>127.2278364920947</v>
      </c>
      <c r="P29">
        <v>93.915765274486645</v>
      </c>
      <c r="Q29">
        <v>88.585498887824087</v>
      </c>
      <c r="R29">
        <v>-6.084234725513352</v>
      </c>
    </row>
    <row r="30" spans="1:18" x14ac:dyDescent="0.3">
      <c r="A30" s="20">
        <v>45415</v>
      </c>
      <c r="B30">
        <v>169.16772805173528</v>
      </c>
      <c r="C30">
        <v>169.77200523614471</v>
      </c>
      <c r="D30">
        <v>162.95654428649451</v>
      </c>
      <c r="E30">
        <v>167.40440368652344</v>
      </c>
      <c r="F30">
        <v>130366800</v>
      </c>
      <c r="G30">
        <v>154.19119775633885</v>
      </c>
      <c r="H30">
        <v>148.82243944798537</v>
      </c>
      <c r="I30">
        <v>67.09786282428152</v>
      </c>
      <c r="J30">
        <v>9.8836232760659328</v>
      </c>
      <c r="K30">
        <v>5.3687583083534776</v>
      </c>
      <c r="L30">
        <v>3.1652503968722514</v>
      </c>
      <c r="M30">
        <v>167.47343918077337</v>
      </c>
      <c r="N30">
        <v>147.5994857788086</v>
      </c>
      <c r="O30">
        <v>127.72553237684382</v>
      </c>
      <c r="P30">
        <v>83.44102962299354</v>
      </c>
      <c r="Q30">
        <v>85.840850708301062</v>
      </c>
      <c r="R30">
        <v>-16.558970377006471</v>
      </c>
    </row>
    <row r="31" spans="1:18" x14ac:dyDescent="0.3">
      <c r="A31" s="20">
        <v>45422</v>
      </c>
      <c r="B31">
        <v>167.63223416853893</v>
      </c>
      <c r="C31">
        <v>171.84235669334993</v>
      </c>
      <c r="D31">
        <v>166.31471155431106</v>
      </c>
      <c r="E31">
        <v>168.69219970703125</v>
      </c>
      <c r="F31">
        <v>81498400</v>
      </c>
      <c r="G31">
        <v>156.43982006976685</v>
      </c>
      <c r="H31">
        <v>150.47123463865532</v>
      </c>
      <c r="I31">
        <v>67.740879313003362</v>
      </c>
      <c r="J31">
        <v>18.635931858832897</v>
      </c>
      <c r="K31">
        <v>5.9685854311115349</v>
      </c>
      <c r="L31">
        <v>3.7267863385021602</v>
      </c>
      <c r="M31">
        <v>170.70544722309398</v>
      </c>
      <c r="N31">
        <v>148.96505126953124</v>
      </c>
      <c r="O31">
        <v>127.2246553159685</v>
      </c>
      <c r="P31">
        <v>86.338274288477308</v>
      </c>
      <c r="Q31">
        <v>87.898356395319169</v>
      </c>
      <c r="R31">
        <v>-13.661725711522694</v>
      </c>
    </row>
    <row r="32" spans="1:18" x14ac:dyDescent="0.3">
      <c r="A32" s="20">
        <v>45429</v>
      </c>
      <c r="B32">
        <v>164.29088077638684</v>
      </c>
      <c r="C32">
        <v>175.8295889529183</v>
      </c>
      <c r="D32">
        <v>164.20469152274447</v>
      </c>
      <c r="E32">
        <v>175.62651062011719</v>
      </c>
      <c r="F32">
        <v>93130000</v>
      </c>
      <c r="G32">
        <v>159.41140966499822</v>
      </c>
      <c r="H32">
        <v>152.54019630678658</v>
      </c>
      <c r="I32">
        <v>71.024614579665581</v>
      </c>
      <c r="J32">
        <v>18.020215849417063</v>
      </c>
      <c r="K32">
        <v>6.8712133582116337</v>
      </c>
      <c r="L32">
        <v>4.356451229824355</v>
      </c>
      <c r="M32">
        <v>175.06010412894381</v>
      </c>
      <c r="N32">
        <v>150.76599197387696</v>
      </c>
      <c r="O32">
        <v>126.47187981881012</v>
      </c>
      <c r="P32">
        <v>99.55381011618762</v>
      </c>
      <c r="Q32">
        <v>89.777704675886142</v>
      </c>
      <c r="R32">
        <v>-0.44618988381238056</v>
      </c>
    </row>
    <row r="33" spans="1:18" x14ac:dyDescent="0.3">
      <c r="A33" s="20">
        <v>45436</v>
      </c>
      <c r="B33">
        <v>175.64633412388821</v>
      </c>
      <c r="C33">
        <v>178.26156293932945</v>
      </c>
      <c r="D33">
        <v>172.90233997240722</v>
      </c>
      <c r="E33">
        <v>174.675537109375</v>
      </c>
      <c r="F33">
        <v>74722500</v>
      </c>
      <c r="G33">
        <v>161.77304586886569</v>
      </c>
      <c r="H33">
        <v>154.34601553061867</v>
      </c>
      <c r="I33">
        <v>69.972667635752615</v>
      </c>
      <c r="J33">
        <v>24.386298567684996</v>
      </c>
      <c r="K33">
        <v>7.4270303382470217</v>
      </c>
      <c r="L33">
        <v>4.9711758452805741</v>
      </c>
      <c r="M33">
        <v>178.18226151152965</v>
      </c>
      <c r="N33">
        <v>152.69472503662109</v>
      </c>
      <c r="O33">
        <v>127.20718856171254</v>
      </c>
      <c r="P33">
        <v>92.520676020577085</v>
      </c>
      <c r="Q33">
        <v>92.804253475080671</v>
      </c>
      <c r="R33">
        <v>-7.4793239794229134</v>
      </c>
    </row>
    <row r="34" spans="1:18" x14ac:dyDescent="0.3">
      <c r="A34" s="20">
        <v>45443</v>
      </c>
      <c r="B34">
        <v>174.09107956623339</v>
      </c>
      <c r="C34">
        <v>176.83507844357212</v>
      </c>
      <c r="D34">
        <v>169.36583818704113</v>
      </c>
      <c r="E34">
        <v>172.32778930664063</v>
      </c>
      <c r="F34">
        <v>77590600</v>
      </c>
      <c r="G34">
        <v>163.40463271731196</v>
      </c>
      <c r="H34">
        <v>155.80205325281713</v>
      </c>
      <c r="I34">
        <v>67.321680588277985</v>
      </c>
      <c r="J34">
        <v>19.732962554009404</v>
      </c>
      <c r="K34">
        <v>7.6025794644948235</v>
      </c>
      <c r="L34">
        <v>5.497873862284294</v>
      </c>
      <c r="M34">
        <v>180.6504952248651</v>
      </c>
      <c r="N34">
        <v>154.16678314208986</v>
      </c>
      <c r="O34">
        <v>127.68307105931463</v>
      </c>
      <c r="P34">
        <v>87.624011224704233</v>
      </c>
      <c r="Q34">
        <v>93.232832453822994</v>
      </c>
      <c r="R34">
        <v>-12.375988775295761</v>
      </c>
    </row>
    <row r="35" spans="1:18" x14ac:dyDescent="0.3">
      <c r="A35" s="20">
        <v>45450</v>
      </c>
      <c r="B35">
        <v>172.2485206376133</v>
      </c>
      <c r="C35">
        <v>177.73657698257412</v>
      </c>
      <c r="D35">
        <v>170.8319302056324</v>
      </c>
      <c r="E35">
        <v>174.29913330078125</v>
      </c>
      <c r="F35">
        <v>79015400</v>
      </c>
      <c r="G35">
        <v>165.08749985585368</v>
      </c>
      <c r="H35">
        <v>157.28955473135906</v>
      </c>
      <c r="I35">
        <v>68.404124068785961</v>
      </c>
      <c r="J35">
        <v>27.426156007203684</v>
      </c>
      <c r="K35">
        <v>7.7979451244946176</v>
      </c>
      <c r="L35">
        <v>5.9581798683187772</v>
      </c>
      <c r="M35">
        <v>183.23868822842198</v>
      </c>
      <c r="N35">
        <v>155.55265884399415</v>
      </c>
      <c r="O35">
        <v>127.86662945956633</v>
      </c>
      <c r="P35">
        <v>91.735615855074286</v>
      </c>
      <c r="Q35">
        <v>90.626767700118535</v>
      </c>
      <c r="R35">
        <v>-8.2643841449257121</v>
      </c>
    </row>
    <row r="36" spans="1:18" x14ac:dyDescent="0.3">
      <c r="A36" s="20">
        <v>45457</v>
      </c>
      <c r="B36">
        <v>174.99330735134745</v>
      </c>
      <c r="C36">
        <v>180.5768215769711</v>
      </c>
      <c r="D36">
        <v>172.94040418339307</v>
      </c>
      <c r="E36">
        <v>176.8974609375</v>
      </c>
      <c r="F36">
        <v>78421100</v>
      </c>
      <c r="G36">
        <v>166.9106413481764</v>
      </c>
      <c r="H36">
        <v>158.85644630257966</v>
      </c>
      <c r="I36">
        <v>69.822979214439769</v>
      </c>
      <c r="J36">
        <v>31.024271326200715</v>
      </c>
      <c r="K36">
        <v>8.0541950455967424</v>
      </c>
      <c r="L36">
        <v>6.3775955728021829</v>
      </c>
      <c r="M36">
        <v>186.00216399220312</v>
      </c>
      <c r="N36">
        <v>156.78018188476563</v>
      </c>
      <c r="O36">
        <v>127.55819977732813</v>
      </c>
      <c r="P36">
        <v>91.785842990784445</v>
      </c>
      <c r="Q36">
        <v>90.381823356854326</v>
      </c>
      <c r="R36">
        <v>-8.2141570092155565</v>
      </c>
    </row>
    <row r="37" spans="1:18" x14ac:dyDescent="0.3">
      <c r="A37" s="20">
        <v>45464</v>
      </c>
      <c r="B37">
        <v>175.51896426593086</v>
      </c>
      <c r="C37">
        <v>181.00527346564169</v>
      </c>
      <c r="D37">
        <v>174.17015169996435</v>
      </c>
      <c r="E37">
        <v>178.77186584472656</v>
      </c>
      <c r="F37">
        <v>106569600</v>
      </c>
      <c r="G37">
        <v>168.7407319944183</v>
      </c>
      <c r="H37">
        <v>160.43867594314611</v>
      </c>
      <c r="I37">
        <v>70.840270522135683</v>
      </c>
      <c r="J37">
        <v>26.936145749998474</v>
      </c>
      <c r="K37">
        <v>8.3020560512721886</v>
      </c>
      <c r="L37">
        <v>6.762643862638817</v>
      </c>
      <c r="M37">
        <v>188.55676730695151</v>
      </c>
      <c r="N37">
        <v>158.6091163635254</v>
      </c>
      <c r="O37">
        <v>128.66146542009929</v>
      </c>
      <c r="P37">
        <v>93.686417664240835</v>
      </c>
      <c r="Q37">
        <v>92.402625503366536</v>
      </c>
      <c r="R37">
        <v>-6.31358233575917</v>
      </c>
    </row>
    <row r="38" spans="1:18" x14ac:dyDescent="0.3">
      <c r="A38" s="20">
        <v>45471</v>
      </c>
      <c r="B38">
        <v>179.78344561482618</v>
      </c>
      <c r="C38">
        <v>185.95211401514788</v>
      </c>
      <c r="D38">
        <v>178.74211084087284</v>
      </c>
      <c r="E38">
        <v>181.90577697753906</v>
      </c>
      <c r="F38">
        <v>86429100</v>
      </c>
      <c r="G38">
        <v>170.77108657138064</v>
      </c>
      <c r="H38">
        <v>162.135067370142</v>
      </c>
      <c r="I38">
        <v>72.508933056279091</v>
      </c>
      <c r="J38">
        <v>20.991448963034287</v>
      </c>
      <c r="K38">
        <v>8.6360192012386392</v>
      </c>
      <c r="L38">
        <v>7.1374405588405487</v>
      </c>
      <c r="M38">
        <v>191.55891239037831</v>
      </c>
      <c r="N38">
        <v>160.26387863159181</v>
      </c>
      <c r="O38">
        <v>128.96884487280531</v>
      </c>
      <c r="P38">
        <v>89.503187204050278</v>
      </c>
      <c r="Q38">
        <v>91.658482619691839</v>
      </c>
      <c r="R38">
        <v>-10.496812795949714</v>
      </c>
    </row>
    <row r="39" spans="1:18" x14ac:dyDescent="0.3">
      <c r="A39" s="20">
        <v>45478</v>
      </c>
      <c r="B39">
        <v>182.95703759078125</v>
      </c>
      <c r="C39">
        <v>190.67275532695643</v>
      </c>
      <c r="D39">
        <v>181.22148455956406</v>
      </c>
      <c r="E39">
        <v>190.375244140625</v>
      </c>
      <c r="F39">
        <v>46083900</v>
      </c>
      <c r="G39">
        <v>173.79336195458546</v>
      </c>
      <c r="H39">
        <v>164.35569712943945</v>
      </c>
      <c r="I39">
        <v>76.433828973191623</v>
      </c>
      <c r="J39">
        <v>26.21727010481154</v>
      </c>
      <c r="K39">
        <v>9.4376648251460153</v>
      </c>
      <c r="L39">
        <v>7.5976048775889753</v>
      </c>
      <c r="M39">
        <v>195.33698850935068</v>
      </c>
      <c r="N39">
        <v>162.76114654541016</v>
      </c>
      <c r="O39">
        <v>130.18530458146964</v>
      </c>
      <c r="P39">
        <v>99.274528101948761</v>
      </c>
      <c r="Q39">
        <v>94.154710990079977</v>
      </c>
      <c r="R39">
        <v>-0.72547189805123424</v>
      </c>
    </row>
    <row r="40" spans="1:18" x14ac:dyDescent="0.3">
      <c r="A40" s="20">
        <v>45485</v>
      </c>
      <c r="B40">
        <v>189.78520484906355</v>
      </c>
      <c r="C40">
        <v>191.71411636191715</v>
      </c>
      <c r="D40">
        <v>184.60332123259764</v>
      </c>
      <c r="E40">
        <v>185.238037109375</v>
      </c>
      <c r="F40">
        <v>65250100</v>
      </c>
      <c r="G40">
        <v>175.55716813011136</v>
      </c>
      <c r="H40">
        <v>165.9902997270091</v>
      </c>
      <c r="I40">
        <v>69.913723177854578</v>
      </c>
      <c r="J40">
        <v>21.471065700535675</v>
      </c>
      <c r="K40">
        <v>9.5668684031022622</v>
      </c>
      <c r="L40">
        <v>7.991539399690895</v>
      </c>
      <c r="M40">
        <v>197.61238372664104</v>
      </c>
      <c r="N40">
        <v>164.82670974731445</v>
      </c>
      <c r="O40">
        <v>132.04103576798786</v>
      </c>
      <c r="P40">
        <v>83.961950784440816</v>
      </c>
      <c r="Q40">
        <v>90.913222030146628</v>
      </c>
      <c r="R40">
        <v>-16.038049215559177</v>
      </c>
    </row>
    <row r="41" spans="1:18" x14ac:dyDescent="0.3">
      <c r="A41" s="20">
        <v>45492</v>
      </c>
      <c r="B41">
        <v>184.95043570609326</v>
      </c>
      <c r="C41">
        <v>188.76863696877504</v>
      </c>
      <c r="D41">
        <v>176.73879151496541</v>
      </c>
      <c r="E41">
        <v>177.90907287597656</v>
      </c>
      <c r="F41">
        <v>74685800</v>
      </c>
      <c r="G41">
        <v>175.91953625827151</v>
      </c>
      <c r="H41">
        <v>166.91935848939511</v>
      </c>
      <c r="I41">
        <v>61.812583184227591</v>
      </c>
      <c r="J41">
        <v>12.817484711105376</v>
      </c>
      <c r="K41">
        <v>9.000177768876398</v>
      </c>
      <c r="L41">
        <v>8.1933005968569628</v>
      </c>
      <c r="M41">
        <v>197.33910076562961</v>
      </c>
      <c r="N41">
        <v>166.88294219970703</v>
      </c>
      <c r="O41">
        <v>136.42678363378445</v>
      </c>
      <c r="P41">
        <v>65.81172678460689</v>
      </c>
      <c r="Q41">
        <v>83.016068556998832</v>
      </c>
      <c r="R41">
        <v>-34.188273215393103</v>
      </c>
    </row>
    <row r="42" spans="1:18" x14ac:dyDescent="0.3">
      <c r="A42" s="20">
        <v>45499</v>
      </c>
      <c r="B42">
        <v>180.84460504534024</v>
      </c>
      <c r="C42">
        <v>183.69092613256566</v>
      </c>
      <c r="D42">
        <v>164.4957121822535</v>
      </c>
      <c r="E42">
        <v>167.28746032714844</v>
      </c>
      <c r="F42">
        <v>125445200</v>
      </c>
      <c r="G42">
        <v>174.58985840487659</v>
      </c>
      <c r="H42">
        <v>166.94794097047165</v>
      </c>
      <c r="I42">
        <v>52.34588022850798</v>
      </c>
      <c r="J42">
        <v>8.4459080167181178</v>
      </c>
      <c r="K42">
        <v>7.6419174344049452</v>
      </c>
      <c r="L42">
        <v>8.0830093041391606</v>
      </c>
      <c r="M42">
        <v>195.00698059757957</v>
      </c>
      <c r="N42">
        <v>168.49675445556642</v>
      </c>
      <c r="O42">
        <v>141.98652831355326</v>
      </c>
      <c r="P42">
        <v>39.507239429879647</v>
      </c>
      <c r="Q42">
        <v>63.093638999642451</v>
      </c>
      <c r="R42">
        <v>-60.492760570120353</v>
      </c>
    </row>
    <row r="43" spans="1:18" x14ac:dyDescent="0.3">
      <c r="A43" s="20">
        <v>45506</v>
      </c>
      <c r="B43">
        <v>169.09245071142888</v>
      </c>
      <c r="C43">
        <v>174.45779048698722</v>
      </c>
      <c r="D43">
        <v>165.01634957647889</v>
      </c>
      <c r="E43">
        <v>167.00975036621094</v>
      </c>
      <c r="F43">
        <v>79186100</v>
      </c>
      <c r="G43">
        <v>173.42245015184599</v>
      </c>
      <c r="H43">
        <v>166.95272327181738</v>
      </c>
      <c r="I43">
        <v>52.121119063888266</v>
      </c>
      <c r="J43">
        <v>-2.9353471421305732</v>
      </c>
      <c r="K43">
        <v>6.4697268800286167</v>
      </c>
      <c r="L43">
        <v>7.760318504945511</v>
      </c>
      <c r="M43">
        <v>192.93485277322344</v>
      </c>
      <c r="N43">
        <v>169.80543899536133</v>
      </c>
      <c r="O43">
        <v>146.67602521749922</v>
      </c>
      <c r="P43">
        <v>14.094395970167669</v>
      </c>
      <c r="Q43">
        <v>39.804454061551404</v>
      </c>
      <c r="R43">
        <v>-85.905604029832332</v>
      </c>
    </row>
    <row r="44" spans="1:18" x14ac:dyDescent="0.3">
      <c r="A44" s="20">
        <v>45513</v>
      </c>
      <c r="B44">
        <v>156.0708189326366</v>
      </c>
      <c r="C44">
        <v>164.5700761153893</v>
      </c>
      <c r="D44">
        <v>155.30718660333892</v>
      </c>
      <c r="E44">
        <v>164.02462768554688</v>
      </c>
      <c r="F44">
        <v>119671300</v>
      </c>
      <c r="G44">
        <v>171.97533300905053</v>
      </c>
      <c r="H44">
        <v>166.72691602117717</v>
      </c>
      <c r="I44">
        <v>49.653143120784293</v>
      </c>
      <c r="J44">
        <v>-2.0189289687417289</v>
      </c>
      <c r="K44">
        <v>5.2484169878733553</v>
      </c>
      <c r="L44">
        <v>7.2578954601053569</v>
      </c>
      <c r="M44">
        <v>191.94433454622092</v>
      </c>
      <c r="N44">
        <v>170.4893714904785</v>
      </c>
      <c r="O44">
        <v>149.03440843473609</v>
      </c>
      <c r="P44">
        <v>23.944455464976265</v>
      </c>
      <c r="Q44">
        <v>25.848696955007863</v>
      </c>
      <c r="R44">
        <v>-76.055544535023728</v>
      </c>
    </row>
    <row r="45" spans="1:18" x14ac:dyDescent="0.3">
      <c r="A45" s="20">
        <v>45520</v>
      </c>
      <c r="B45">
        <v>164.62461212931089</v>
      </c>
      <c r="C45">
        <v>165.57173643087194</v>
      </c>
      <c r="D45">
        <v>158.21297614236687</v>
      </c>
      <c r="E45">
        <v>163.37998962402344</v>
      </c>
      <c r="F45">
        <v>82914100</v>
      </c>
      <c r="G45">
        <v>170.65196787016774</v>
      </c>
      <c r="H45">
        <v>166.46959273869371</v>
      </c>
      <c r="I45">
        <v>49.112318972883642</v>
      </c>
      <c r="J45">
        <v>-3.1490549605930562</v>
      </c>
      <c r="K45">
        <v>4.1823751314740321</v>
      </c>
      <c r="L45">
        <v>6.6427495297164523</v>
      </c>
      <c r="M45">
        <v>190.81308261084152</v>
      </c>
      <c r="N45">
        <v>171.11680221557617</v>
      </c>
      <c r="O45">
        <v>151.42052182031082</v>
      </c>
      <c r="P45">
        <v>22.173808871599224</v>
      </c>
      <c r="Q45">
        <v>20.070886768914388</v>
      </c>
      <c r="R45">
        <v>-77.826191128400779</v>
      </c>
    </row>
    <row r="46" spans="1:18" x14ac:dyDescent="0.3">
      <c r="A46" s="20">
        <v>45527</v>
      </c>
      <c r="B46">
        <v>165.62131426383317</v>
      </c>
      <c r="C46">
        <v>169.00318150757275</v>
      </c>
      <c r="D46">
        <v>163.66761588275801</v>
      </c>
      <c r="E46">
        <v>166.04777526855469</v>
      </c>
      <c r="F46">
        <v>74398300</v>
      </c>
      <c r="G46">
        <v>169.94317525504169</v>
      </c>
      <c r="H46">
        <v>166.43725280736686</v>
      </c>
      <c r="I46">
        <v>51.468210577698549</v>
      </c>
      <c r="J46">
        <v>-5.4540372736103908</v>
      </c>
      <c r="K46">
        <v>3.5059224476748341</v>
      </c>
      <c r="L46">
        <v>6.0153499544261306</v>
      </c>
      <c r="M46">
        <v>189.63873424517047</v>
      </c>
      <c r="N46">
        <v>171.79441070556641</v>
      </c>
      <c r="O46">
        <v>153.95008716596234</v>
      </c>
      <c r="P46">
        <v>29.501495282460784</v>
      </c>
      <c r="Q46">
        <v>25.206586539678757</v>
      </c>
      <c r="R46">
        <v>-70.498504717539205</v>
      </c>
    </row>
    <row r="47" spans="1:18" x14ac:dyDescent="0.3">
      <c r="A47" s="20">
        <v>45534</v>
      </c>
      <c r="B47">
        <v>166.76677341442428</v>
      </c>
      <c r="C47">
        <v>167.98166632144043</v>
      </c>
      <c r="D47">
        <v>160.64474771468656</v>
      </c>
      <c r="E47">
        <v>163.74696350097656</v>
      </c>
      <c r="F47">
        <v>76549800</v>
      </c>
      <c r="G47">
        <v>168.98939350349448</v>
      </c>
      <c r="H47">
        <v>166.23152716997535</v>
      </c>
      <c r="I47">
        <v>49.346370250610832</v>
      </c>
      <c r="J47">
        <v>-6.2564992152022931</v>
      </c>
      <c r="K47">
        <v>2.7578663335191322</v>
      </c>
      <c r="L47">
        <v>5.363824852324238</v>
      </c>
      <c r="M47">
        <v>189.12119871848176</v>
      </c>
      <c r="N47">
        <v>172.09694061279296</v>
      </c>
      <c r="O47">
        <v>155.07268250710416</v>
      </c>
      <c r="P47">
        <v>23.181786966392178</v>
      </c>
      <c r="Q47">
        <v>24.952363706817394</v>
      </c>
      <c r="R47">
        <v>-76.818213033607819</v>
      </c>
    </row>
    <row r="48" spans="1:18" x14ac:dyDescent="0.3">
      <c r="A48" s="20">
        <v>45541</v>
      </c>
      <c r="B48">
        <v>161.96677361541697</v>
      </c>
      <c r="C48">
        <v>162.03123943640284</v>
      </c>
      <c r="D48">
        <v>150.6806870457014</v>
      </c>
      <c r="E48">
        <v>150.87408447265625</v>
      </c>
      <c r="F48">
        <v>83082400</v>
      </c>
      <c r="G48">
        <v>166.20114054840604</v>
      </c>
      <c r="H48">
        <v>165.05995467170942</v>
      </c>
      <c r="I48">
        <v>39.527667740129978</v>
      </c>
      <c r="J48">
        <v>-12.449358818042732</v>
      </c>
      <c r="K48">
        <v>1.1411858766966247</v>
      </c>
      <c r="L48">
        <v>4.5192676286745748</v>
      </c>
      <c r="M48">
        <v>189.74733093537978</v>
      </c>
      <c r="N48">
        <v>171.92770004272461</v>
      </c>
      <c r="O48">
        <v>154.10806915006944</v>
      </c>
      <c r="P48">
        <v>0.47131675362658076</v>
      </c>
      <c r="Q48">
        <v>17.718199667493181</v>
      </c>
      <c r="R48">
        <v>-99.528683246373419</v>
      </c>
    </row>
    <row r="49" spans="1:18" x14ac:dyDescent="0.3">
      <c r="A49" s="20">
        <v>45548</v>
      </c>
      <c r="B49">
        <v>152.56227256074101</v>
      </c>
      <c r="C49">
        <v>158.16804197629381</v>
      </c>
      <c r="D49">
        <v>147.17000331520651</v>
      </c>
      <c r="E49">
        <v>157.26933288574219</v>
      </c>
      <c r="F49">
        <v>105165700</v>
      </c>
      <c r="G49">
        <v>164.82648134199923</v>
      </c>
      <c r="H49">
        <v>164.46694413934068</v>
      </c>
      <c r="I49">
        <v>45.345863626788962</v>
      </c>
      <c r="J49">
        <v>-9.7704446904227531</v>
      </c>
      <c r="K49">
        <v>0.35953720265854372</v>
      </c>
      <c r="L49">
        <v>3.6872983515527906</v>
      </c>
      <c r="M49">
        <v>190.17414503037082</v>
      </c>
      <c r="N49">
        <v>171.18815078735352</v>
      </c>
      <c r="O49">
        <v>152.20215654433622</v>
      </c>
      <c r="P49">
        <v>22.672647135088617</v>
      </c>
      <c r="Q49">
        <v>15.441916951702458</v>
      </c>
      <c r="R49">
        <v>-77.327352864911376</v>
      </c>
    </row>
    <row r="50" spans="1:18" x14ac:dyDescent="0.3">
      <c r="A50" s="20">
        <v>45555</v>
      </c>
      <c r="B50">
        <v>157.22960838746815</v>
      </c>
      <c r="C50">
        <v>163.84333689421396</v>
      </c>
      <c r="D50">
        <v>156.51461117493449</v>
      </c>
      <c r="E50">
        <v>163.49574279785156</v>
      </c>
      <c r="F50">
        <v>106889800</v>
      </c>
      <c r="G50">
        <v>164.62168489942727</v>
      </c>
      <c r="H50">
        <v>164.39316856858645</v>
      </c>
      <c r="I50">
        <v>50.354049343635936</v>
      </c>
      <c r="J50">
        <v>-7.5759810619234536</v>
      </c>
      <c r="K50">
        <v>0.22851633084081868</v>
      </c>
      <c r="L50">
        <v>2.9955265203830539</v>
      </c>
      <c r="M50">
        <v>190.22161819421288</v>
      </c>
      <c r="N50">
        <v>170.99271774291992</v>
      </c>
      <c r="O50">
        <v>151.76381729162696</v>
      </c>
      <c r="P50">
        <v>36.650722993463269</v>
      </c>
      <c r="Q50">
        <v>19.931562294059489</v>
      </c>
      <c r="R50">
        <v>-63.349277006536731</v>
      </c>
    </row>
    <row r="51" spans="1:18" x14ac:dyDescent="0.3">
      <c r="A51" s="20">
        <v>45562</v>
      </c>
      <c r="B51">
        <v>164.19087321733161</v>
      </c>
      <c r="C51">
        <v>165.80955189352889</v>
      </c>
      <c r="D51">
        <v>160.90388970534181</v>
      </c>
      <c r="E51">
        <v>164.14122009277344</v>
      </c>
      <c r="F51">
        <v>79869200</v>
      </c>
      <c r="G51">
        <v>164.54774663594796</v>
      </c>
      <c r="H51">
        <v>164.37406584142542</v>
      </c>
      <c r="I51">
        <v>50.856795554224938</v>
      </c>
      <c r="J51">
        <v>-8.1839755281519881</v>
      </c>
      <c r="K51">
        <v>0.17368079452253937</v>
      </c>
      <c r="L51">
        <v>2.4311473063493132</v>
      </c>
      <c r="M51">
        <v>190.21513412941357</v>
      </c>
      <c r="N51">
        <v>170.76516876220703</v>
      </c>
      <c r="O51">
        <v>151.31520339500048</v>
      </c>
      <c r="P51">
        <v>38.099797294808106</v>
      </c>
      <c r="Q51">
        <v>32.474389141119993</v>
      </c>
      <c r="R51">
        <v>-61.900202705191901</v>
      </c>
    </row>
    <row r="52" spans="1:18" x14ac:dyDescent="0.3">
      <c r="A52" s="20">
        <v>45569</v>
      </c>
      <c r="B52">
        <v>163.63477628088927</v>
      </c>
      <c r="C52">
        <v>169.2554619099615</v>
      </c>
      <c r="D52">
        <v>163.49574988827916</v>
      </c>
      <c r="E52">
        <v>167.38848876953125</v>
      </c>
      <c r="F52">
        <v>67871000</v>
      </c>
      <c r="G52">
        <v>164.98488694664223</v>
      </c>
      <c r="H52">
        <v>164.60222097647286</v>
      </c>
      <c r="I52">
        <v>53.41275489272099</v>
      </c>
      <c r="J52">
        <v>-7.9806636431345108</v>
      </c>
      <c r="K52">
        <v>0.38266597016936998</v>
      </c>
      <c r="L52">
        <v>2.0214451916493452</v>
      </c>
      <c r="M52">
        <v>189.71849178347847</v>
      </c>
      <c r="N52">
        <v>170.35326766967773</v>
      </c>
      <c r="O52">
        <v>150.988043555877</v>
      </c>
      <c r="P52">
        <v>45.389803660750566</v>
      </c>
      <c r="Q52">
        <v>40.046774649673978</v>
      </c>
      <c r="R52">
        <v>-54.610196339249427</v>
      </c>
    </row>
    <row r="53" spans="1:18" x14ac:dyDescent="0.3">
      <c r="A53" s="20">
        <v>45576</v>
      </c>
      <c r="B53">
        <v>167.96450100864499</v>
      </c>
      <c r="C53">
        <v>168.71921366425957</v>
      </c>
      <c r="D53">
        <v>160.00019283226675</v>
      </c>
      <c r="E53">
        <v>163.37660217285156</v>
      </c>
      <c r="F53">
        <v>69271500</v>
      </c>
      <c r="G53">
        <v>164.73740915114578</v>
      </c>
      <c r="H53">
        <v>164.50960600493067</v>
      </c>
      <c r="I53">
        <v>49.95581650774367</v>
      </c>
      <c r="J53">
        <v>-14.181802938532428</v>
      </c>
      <c r="K53">
        <v>0.22780314621510911</v>
      </c>
      <c r="L53">
        <v>1.6627126865613768</v>
      </c>
      <c r="M53">
        <v>189.28145115920591</v>
      </c>
      <c r="N53">
        <v>169.78832092285157</v>
      </c>
      <c r="O53">
        <v>150.29519068649722</v>
      </c>
      <c r="P53">
        <v>36.383256392713889</v>
      </c>
      <c r="Q53">
        <v>39.957619116090854</v>
      </c>
      <c r="R53">
        <v>-63.616743607286111</v>
      </c>
    </row>
    <row r="54" spans="1:18" x14ac:dyDescent="0.3">
      <c r="A54" s="20">
        <v>45583</v>
      </c>
      <c r="B54">
        <v>163.76388370945972</v>
      </c>
      <c r="C54">
        <v>167.91481789675836</v>
      </c>
      <c r="D54">
        <v>163.22762704560125</v>
      </c>
      <c r="E54">
        <v>163.90289306640625</v>
      </c>
      <c r="F54">
        <v>62984300</v>
      </c>
      <c r="G54">
        <v>164.60900038614238</v>
      </c>
      <c r="H54">
        <v>164.46382749676539</v>
      </c>
      <c r="I54">
        <v>50.409245480835516</v>
      </c>
      <c r="J54">
        <v>-11.517690629798283</v>
      </c>
      <c r="K54">
        <v>0.14517288937699391</v>
      </c>
      <c r="L54">
        <v>1.3592019547405534</v>
      </c>
      <c r="M54">
        <v>188.99281387372187</v>
      </c>
      <c r="N54">
        <v>169.36707611083983</v>
      </c>
      <c r="O54">
        <v>149.74133834795779</v>
      </c>
      <c r="P54">
        <v>40.22461384321047</v>
      </c>
      <c r="Q54">
        <v>40.665891298891644</v>
      </c>
      <c r="R54">
        <v>-59.775386156789537</v>
      </c>
    </row>
    <row r="55" spans="1:18" x14ac:dyDescent="0.3">
      <c r="A55" s="20">
        <v>45590</v>
      </c>
      <c r="B55">
        <v>163.43618277725645</v>
      </c>
      <c r="C55">
        <v>166.43516365531642</v>
      </c>
      <c r="D55">
        <v>161.63874269063112</v>
      </c>
      <c r="E55">
        <v>165.82942199707031</v>
      </c>
      <c r="F55">
        <v>63427700</v>
      </c>
      <c r="G55">
        <v>164.79678437794578</v>
      </c>
      <c r="H55">
        <v>164.56672422124902</v>
      </c>
      <c r="I55">
        <v>52.119454194375656</v>
      </c>
      <c r="J55">
        <v>-6.789789122967993</v>
      </c>
      <c r="K55">
        <v>0.23006015669676572</v>
      </c>
      <c r="L55">
        <v>1.13337194487715</v>
      </c>
      <c r="M55">
        <v>188.48657165762293</v>
      </c>
      <c r="N55">
        <v>168.9435905456543</v>
      </c>
      <c r="O55">
        <v>149.40060943368567</v>
      </c>
      <c r="P55">
        <v>51.09240742677671</v>
      </c>
      <c r="Q55">
        <v>42.566759220900359</v>
      </c>
      <c r="R55">
        <v>-48.907592573223283</v>
      </c>
    </row>
    <row r="56" spans="1:18" x14ac:dyDescent="0.3">
      <c r="A56" s="20">
        <v>45597</v>
      </c>
      <c r="B56">
        <v>169.40440658674908</v>
      </c>
      <c r="C56">
        <v>182.51265922447976</v>
      </c>
      <c r="D56">
        <v>164.63776325446941</v>
      </c>
      <c r="E56">
        <v>171.45010375976563</v>
      </c>
      <c r="F56">
        <v>154027500</v>
      </c>
      <c r="G56">
        <v>165.8204956955953</v>
      </c>
      <c r="H56">
        <v>165.08472211511216</v>
      </c>
      <c r="I56">
        <v>56.800328584345209</v>
      </c>
      <c r="J56">
        <v>2.4883176685668529</v>
      </c>
      <c r="K56">
        <v>0.73577358048314068</v>
      </c>
      <c r="L56">
        <v>1.053851807123102</v>
      </c>
      <c r="M56">
        <v>187.89671779530164</v>
      </c>
      <c r="N56">
        <v>168.67122268676758</v>
      </c>
      <c r="O56">
        <v>149.44572757823352</v>
      </c>
      <c r="P56">
        <v>68.699139382415424</v>
      </c>
      <c r="Q56">
        <v>53.338720217467539</v>
      </c>
      <c r="R56">
        <v>-31.300860617584576</v>
      </c>
    </row>
    <row r="57" spans="1:18" x14ac:dyDescent="0.3">
      <c r="A57" s="20">
        <v>45604</v>
      </c>
      <c r="B57">
        <v>170.04989516758732</v>
      </c>
      <c r="C57">
        <v>181.31107110719461</v>
      </c>
      <c r="D57">
        <v>168.30708748966546</v>
      </c>
      <c r="E57">
        <v>178.60997009277344</v>
      </c>
      <c r="F57">
        <v>87525700</v>
      </c>
      <c r="G57">
        <v>167.78830837332313</v>
      </c>
      <c r="H57">
        <v>166.10134440952601</v>
      </c>
      <c r="I57">
        <v>61.908822640638945</v>
      </c>
      <c r="J57">
        <v>6.9458338217535776</v>
      </c>
      <c r="K57">
        <v>1.6869639637971261</v>
      </c>
      <c r="L57">
        <v>1.1804748306491266</v>
      </c>
      <c r="M57">
        <v>187.87084450958466</v>
      </c>
      <c r="N57">
        <v>168.66312789916992</v>
      </c>
      <c r="O57">
        <v>149.45541128875519</v>
      </c>
      <c r="P57">
        <v>88.957566908030998</v>
      </c>
      <c r="Q57">
        <v>69.583037905741037</v>
      </c>
      <c r="R57">
        <v>-11.042433091968995</v>
      </c>
    </row>
    <row r="58" spans="1:18" x14ac:dyDescent="0.3">
      <c r="A58" s="20">
        <v>45611</v>
      </c>
      <c r="B58">
        <v>178.8185180961797</v>
      </c>
      <c r="C58">
        <v>182.74604648899842</v>
      </c>
      <c r="D58">
        <v>171.54441106873682</v>
      </c>
      <c r="E58">
        <v>172.68145751953125</v>
      </c>
      <c r="F58">
        <v>80173600</v>
      </c>
      <c r="G58">
        <v>168.54116569379721</v>
      </c>
      <c r="H58">
        <v>166.59539829888709</v>
      </c>
      <c r="I58">
        <v>56.003383119719317</v>
      </c>
      <c r="J58">
        <v>5.2777622215247177</v>
      </c>
      <c r="K58">
        <v>1.9457673949101206</v>
      </c>
      <c r="L58">
        <v>1.3335339161633517</v>
      </c>
      <c r="M58">
        <v>186.4918148492969</v>
      </c>
      <c r="N58">
        <v>168.20191192626953</v>
      </c>
      <c r="O58">
        <v>149.91200900324216</v>
      </c>
      <c r="P58">
        <v>71.70964482952526</v>
      </c>
      <c r="Q58">
        <v>76.455450373323899</v>
      </c>
      <c r="R58">
        <v>-28.290355170474751</v>
      </c>
    </row>
    <row r="59" spans="1:18" x14ac:dyDescent="0.3">
      <c r="A59" s="20">
        <v>45618</v>
      </c>
      <c r="B59">
        <v>173.73904972169086</v>
      </c>
      <c r="C59">
        <v>178.91780500479192</v>
      </c>
      <c r="D59">
        <v>164.16110239606371</v>
      </c>
      <c r="E59">
        <v>165.41233825683594</v>
      </c>
      <c r="F59">
        <v>113121900</v>
      </c>
      <c r="G59">
        <v>168.05977238039472</v>
      </c>
      <c r="H59">
        <v>166.506660255475</v>
      </c>
      <c r="I59">
        <v>49.73849840522923</v>
      </c>
      <c r="J59">
        <v>1.2439397489799164</v>
      </c>
      <c r="K59">
        <v>1.5531121249197213</v>
      </c>
      <c r="L59">
        <v>1.3774496893613573</v>
      </c>
      <c r="M59">
        <v>181.99014591137444</v>
      </c>
      <c r="N59">
        <v>166.95376663208009</v>
      </c>
      <c r="O59">
        <v>151.91738735278574</v>
      </c>
      <c r="P59">
        <v>51.277020472777465</v>
      </c>
      <c r="Q59">
        <v>70.648077403444574</v>
      </c>
      <c r="R59">
        <v>-48.722979527222535</v>
      </c>
    </row>
    <row r="60" spans="1:18" x14ac:dyDescent="0.3">
      <c r="A60" s="20">
        <v>45625</v>
      </c>
      <c r="B60">
        <v>166.822462243513</v>
      </c>
      <c r="C60">
        <v>170.30309226953563</v>
      </c>
      <c r="D60">
        <v>166.23655127207525</v>
      </c>
      <c r="E60">
        <v>169.30508422851563</v>
      </c>
      <c r="F60">
        <v>58017300</v>
      </c>
      <c r="G60">
        <v>168.25137068862884</v>
      </c>
      <c r="H60">
        <v>166.71636656834212</v>
      </c>
      <c r="I60">
        <v>52.784580646956002</v>
      </c>
      <c r="J60">
        <v>1.9616697391415139</v>
      </c>
      <c r="K60">
        <v>1.5350041202867146</v>
      </c>
      <c r="L60">
        <v>1.4089606510001915</v>
      </c>
      <c r="M60">
        <v>178.57494600256928</v>
      </c>
      <c r="N60">
        <v>166.1571189880371</v>
      </c>
      <c r="O60">
        <v>153.73929197350492</v>
      </c>
      <c r="P60">
        <v>62.219063556836318</v>
      </c>
      <c r="Q60">
        <v>61.735242953046345</v>
      </c>
      <c r="R60">
        <v>-37.780936443163689</v>
      </c>
    </row>
    <row r="61" spans="1:18" x14ac:dyDescent="0.3">
      <c r="A61" s="20">
        <v>45632</v>
      </c>
      <c r="B61">
        <v>169.13628474793555</v>
      </c>
      <c r="C61">
        <v>176.47493587241169</v>
      </c>
      <c r="D61">
        <v>169.08662921695452</v>
      </c>
      <c r="E61">
        <v>175.26339721679688</v>
      </c>
      <c r="F61">
        <v>80019700</v>
      </c>
      <c r="G61">
        <v>169.33020055469009</v>
      </c>
      <c r="H61">
        <v>167.35630548867832</v>
      </c>
      <c r="I61">
        <v>57.072922693402504</v>
      </c>
      <c r="J61">
        <v>7.0330670380654992</v>
      </c>
      <c r="K61">
        <v>1.973895066011778</v>
      </c>
      <c r="L61">
        <v>1.5219477504427914</v>
      </c>
      <c r="M61">
        <v>177.96263395204073</v>
      </c>
      <c r="N61">
        <v>166.02483520507812</v>
      </c>
      <c r="O61">
        <v>154.08703645811551</v>
      </c>
      <c r="P61">
        <v>78.967168339525045</v>
      </c>
      <c r="Q61">
        <v>64.154417456379619</v>
      </c>
      <c r="R61">
        <v>-21.032831660474955</v>
      </c>
    </row>
    <row r="62" spans="1:18" x14ac:dyDescent="0.3">
      <c r="A62" s="20">
        <v>45639</v>
      </c>
      <c r="B62">
        <v>174.69175066583918</v>
      </c>
      <c r="C62">
        <v>195.74342814716454</v>
      </c>
      <c r="D62">
        <v>174.37858258627782</v>
      </c>
      <c r="E62">
        <v>190.26553344726563</v>
      </c>
      <c r="F62">
        <v>139950700</v>
      </c>
      <c r="G62">
        <v>172.55116387124954</v>
      </c>
      <c r="H62">
        <v>169.07021162461592</v>
      </c>
      <c r="I62">
        <v>65.555689649971768</v>
      </c>
      <c r="J62">
        <v>26.108823866134891</v>
      </c>
      <c r="K62">
        <v>3.4809522466336205</v>
      </c>
      <c r="L62">
        <v>1.9137492501150082</v>
      </c>
      <c r="M62">
        <v>183.30833765562224</v>
      </c>
      <c r="N62">
        <v>167.17373886108399</v>
      </c>
      <c r="O62">
        <v>151.03914006654574</v>
      </c>
      <c r="P62">
        <v>88.722445001871009</v>
      </c>
      <c r="Q62">
        <v>76.636225632744129</v>
      </c>
      <c r="R62">
        <v>-11.277554998128993</v>
      </c>
    </row>
    <row r="63" spans="1:18" x14ac:dyDescent="0.3">
      <c r="A63" s="20">
        <v>45646</v>
      </c>
      <c r="B63">
        <v>193.23315899796364</v>
      </c>
      <c r="C63">
        <v>201.69854304500976</v>
      </c>
      <c r="D63">
        <v>185.28469853591804</v>
      </c>
      <c r="E63">
        <v>191.83633422851563</v>
      </c>
      <c r="F63">
        <v>156317400</v>
      </c>
      <c r="G63">
        <v>175.51822451865081</v>
      </c>
      <c r="H63">
        <v>170.77215416605114</v>
      </c>
      <c r="I63">
        <v>66.30645734870366</v>
      </c>
      <c r="J63">
        <v>21.979492573982441</v>
      </c>
      <c r="K63">
        <v>4.7460703525996735</v>
      </c>
      <c r="L63">
        <v>2.4802141650959064</v>
      </c>
      <c r="M63">
        <v>187.95689270884296</v>
      </c>
      <c r="N63">
        <v>168.41506805419922</v>
      </c>
      <c r="O63">
        <v>148.87324339955549</v>
      </c>
      <c r="P63">
        <v>78.173194743537266</v>
      </c>
      <c r="Q63">
        <v>81.95426936164445</v>
      </c>
      <c r="R63">
        <v>-21.826805256462738</v>
      </c>
    </row>
    <row r="64" spans="1:18" x14ac:dyDescent="0.3">
      <c r="A64" s="20">
        <v>45653</v>
      </c>
      <c r="B64">
        <v>192.90008576515993</v>
      </c>
      <c r="C64">
        <v>197.00603421750674</v>
      </c>
      <c r="D64">
        <v>190.51406797729044</v>
      </c>
      <c r="E64">
        <v>192.91001892089844</v>
      </c>
      <c r="F64">
        <v>44646600</v>
      </c>
      <c r="G64">
        <v>178.19397017332486</v>
      </c>
      <c r="H64">
        <v>172.42599902679686</v>
      </c>
      <c r="I64">
        <v>66.83851946018433</v>
      </c>
      <c r="J64">
        <v>17.990851394470319</v>
      </c>
      <c r="K64">
        <v>5.7679711465279979</v>
      </c>
      <c r="L64">
        <v>3.1377662063074898</v>
      </c>
      <c r="M64">
        <v>192.11598505086445</v>
      </c>
      <c r="N64">
        <v>169.85933761596681</v>
      </c>
      <c r="O64">
        <v>147.60269018106916</v>
      </c>
      <c r="P64">
        <v>78.923568728084732</v>
      </c>
      <c r="Q64">
        <v>81.939736157831007</v>
      </c>
      <c r="R64">
        <v>-21.076431271915279</v>
      </c>
    </row>
    <row r="65" spans="1:18" x14ac:dyDescent="0.3">
      <c r="A65" s="20">
        <v>45660</v>
      </c>
      <c r="B65">
        <v>189.75353225437021</v>
      </c>
      <c r="C65">
        <v>193.36731162629155</v>
      </c>
      <c r="D65">
        <v>187.61106503021085</v>
      </c>
      <c r="E65">
        <v>192.00529479980469</v>
      </c>
      <c r="F65">
        <v>56984900</v>
      </c>
      <c r="G65">
        <v>180.31884644735371</v>
      </c>
      <c r="H65">
        <v>173.88777723936218</v>
      </c>
      <c r="I65">
        <v>65.894268597668315</v>
      </c>
      <c r="J65">
        <v>16.975671736375752</v>
      </c>
      <c r="K65">
        <v>6.431069207991527</v>
      </c>
      <c r="L65">
        <v>3.7964273234546524</v>
      </c>
      <c r="M65">
        <v>195.39757173315289</v>
      </c>
      <c r="N65">
        <v>171.29060287475585</v>
      </c>
      <c r="O65">
        <v>147.18363401635881</v>
      </c>
      <c r="P65">
        <v>76.753880679330052</v>
      </c>
      <c r="Q65">
        <v>77.950214716984021</v>
      </c>
      <c r="R65">
        <v>-23.246119320669944</v>
      </c>
    </row>
    <row r="66" spans="1:18" x14ac:dyDescent="0.3">
      <c r="A66" s="20">
        <v>45667</v>
      </c>
      <c r="B66">
        <v>194.01357127083</v>
      </c>
      <c r="C66">
        <v>200.96285524330096</v>
      </c>
      <c r="D66">
        <v>190.48425550134701</v>
      </c>
      <c r="E66">
        <v>192.04510498046875</v>
      </c>
      <c r="F66">
        <v>71539200</v>
      </c>
      <c r="G66">
        <v>182.12292724334432</v>
      </c>
      <c r="H66">
        <v>175.2425991966258</v>
      </c>
      <c r="I66">
        <v>65.917085671850572</v>
      </c>
      <c r="J66">
        <v>14.730174334082168</v>
      </c>
      <c r="K66">
        <v>6.8803280467185175</v>
      </c>
      <c r="L66">
        <v>4.4132078552668395</v>
      </c>
      <c r="M66">
        <v>198.26007993929301</v>
      </c>
      <c r="N66">
        <v>172.59046936035156</v>
      </c>
      <c r="O66">
        <v>146.92085878141012</v>
      </c>
      <c r="P66">
        <v>76.849352515652001</v>
      </c>
      <c r="Q66">
        <v>77.5089339743556</v>
      </c>
      <c r="R66">
        <v>-23.150647484347996</v>
      </c>
    </row>
    <row r="67" spans="1:18" x14ac:dyDescent="0.3">
      <c r="A67" s="20">
        <v>45674</v>
      </c>
      <c r="B67">
        <v>190.23568334627808</v>
      </c>
      <c r="C67">
        <v>197.6522696223013</v>
      </c>
      <c r="D67">
        <v>187.56134607781078</v>
      </c>
      <c r="E67">
        <v>196.39961242675781</v>
      </c>
      <c r="F67">
        <v>75273900</v>
      </c>
      <c r="G67">
        <v>184.31938260843862</v>
      </c>
      <c r="H67">
        <v>176.82039023251886</v>
      </c>
      <c r="I67">
        <v>68.406833252412909</v>
      </c>
      <c r="J67">
        <v>20.212814940886137</v>
      </c>
      <c r="K67">
        <v>7.4989923759197552</v>
      </c>
      <c r="L67">
        <v>5.0303650693141124</v>
      </c>
      <c r="M67">
        <v>201.61987546660271</v>
      </c>
      <c r="N67">
        <v>174.22310180664061</v>
      </c>
      <c r="O67">
        <v>146.82632814667852</v>
      </c>
      <c r="P67">
        <v>86.772448760661987</v>
      </c>
      <c r="Q67">
        <v>80.125227318548013</v>
      </c>
      <c r="R67">
        <v>-13.227551239338013</v>
      </c>
    </row>
    <row r="68" spans="1:18" x14ac:dyDescent="0.3">
      <c r="A68" s="20">
        <v>45681</v>
      </c>
      <c r="B68">
        <v>199.34234863062295</v>
      </c>
      <c r="C68">
        <v>202.65295859587377</v>
      </c>
      <c r="D68">
        <v>195.67384839306251</v>
      </c>
      <c r="E68">
        <v>200.7242431640625</v>
      </c>
      <c r="F68">
        <v>62385800</v>
      </c>
      <c r="G68">
        <v>186.8432483979872</v>
      </c>
      <c r="H68">
        <v>178.60213462619802</v>
      </c>
      <c r="I68">
        <v>70.696306806610295</v>
      </c>
      <c r="J68">
        <v>22.465344820202681</v>
      </c>
      <c r="K68">
        <v>8.2411137717891734</v>
      </c>
      <c r="L68">
        <v>5.6725150677829408</v>
      </c>
      <c r="M68">
        <v>204.2384316583327</v>
      </c>
      <c r="N68">
        <v>176.71560974121093</v>
      </c>
      <c r="O68">
        <v>149.19278782408915</v>
      </c>
      <c r="P68">
        <v>95.297446533496384</v>
      </c>
      <c r="Q68">
        <v>86.306415936603457</v>
      </c>
      <c r="R68">
        <v>-4.7025534665036259</v>
      </c>
    </row>
    <row r="69" spans="1:18" x14ac:dyDescent="0.3">
      <c r="A69" s="20">
        <v>45688</v>
      </c>
      <c r="B69">
        <v>193.05915390876086</v>
      </c>
      <c r="C69">
        <v>205.87410241351043</v>
      </c>
      <c r="D69">
        <v>191.48837431200312</v>
      </c>
      <c r="E69">
        <v>204.40272521972656</v>
      </c>
      <c r="F69">
        <v>84829000</v>
      </c>
      <c r="G69">
        <v>189.54474358483205</v>
      </c>
      <c r="H69">
        <v>180.52436627968891</v>
      </c>
      <c r="I69">
        <v>72.520439978248774</v>
      </c>
      <c r="J69">
        <v>23.260831979103024</v>
      </c>
      <c r="K69">
        <v>9.0203773051431426</v>
      </c>
      <c r="L69">
        <v>6.3420877304473384</v>
      </c>
      <c r="M69">
        <v>207.63612491271206</v>
      </c>
      <c r="N69">
        <v>179.07227935791016</v>
      </c>
      <c r="O69">
        <v>150.50843380310826</v>
      </c>
      <c r="P69">
        <v>96.47261718608479</v>
      </c>
      <c r="Q69">
        <v>92.847504160081044</v>
      </c>
      <c r="R69">
        <v>-3.5273828139152141</v>
      </c>
    </row>
    <row r="70" spans="1:18" x14ac:dyDescent="0.3">
      <c r="A70" s="20">
        <v>45695</v>
      </c>
      <c r="B70">
        <v>201.03741758959575</v>
      </c>
      <c r="C70">
        <v>207.48463703498601</v>
      </c>
      <c r="D70">
        <v>184.02210299446901</v>
      </c>
      <c r="E70">
        <v>186.05021667480469</v>
      </c>
      <c r="F70">
        <v>139053600</v>
      </c>
      <c r="G70">
        <v>189.00711779357272</v>
      </c>
      <c r="H70">
        <v>180.93588423326315</v>
      </c>
      <c r="I70">
        <v>54.344362747871415</v>
      </c>
      <c r="J70">
        <v>8.5156629216723179</v>
      </c>
      <c r="K70">
        <v>8.0712335603095653</v>
      </c>
      <c r="L70">
        <v>6.6879169853359741</v>
      </c>
      <c r="M70">
        <v>207.94364509086327</v>
      </c>
      <c r="N70">
        <v>180.20000305175782</v>
      </c>
      <c r="O70">
        <v>152.45636101265237</v>
      </c>
      <c r="P70">
        <v>50.524765491030777</v>
      </c>
      <c r="Q70">
        <v>80.764943070203984</v>
      </c>
      <c r="R70">
        <v>-49.47523450896923</v>
      </c>
    </row>
    <row r="71" spans="1:18" x14ac:dyDescent="0.3">
      <c r="A71" s="20">
        <v>45702</v>
      </c>
      <c r="B71">
        <v>187.95901158422288</v>
      </c>
      <c r="C71">
        <v>188.88360364179519</v>
      </c>
      <c r="D71">
        <v>182.56065295671868</v>
      </c>
      <c r="E71">
        <v>185.78176879882813</v>
      </c>
      <c r="F71">
        <v>72709900</v>
      </c>
      <c r="G71">
        <v>188.51090536183358</v>
      </c>
      <c r="H71">
        <v>181.2966208234823</v>
      </c>
      <c r="I71">
        <v>54.13064913571236</v>
      </c>
      <c r="J71">
        <v>4.0153406343047537</v>
      </c>
      <c r="K71">
        <v>7.2142845383512793</v>
      </c>
      <c r="L71">
        <v>6.7931905175925449</v>
      </c>
      <c r="M71">
        <v>208.05977804725467</v>
      </c>
      <c r="N71">
        <v>181.28203048706055</v>
      </c>
      <c r="O71">
        <v>154.50428292686644</v>
      </c>
      <c r="P71">
        <v>49.905130278405743</v>
      </c>
      <c r="Q71">
        <v>65.634170985173782</v>
      </c>
      <c r="R71">
        <v>-50.09486972159425</v>
      </c>
    </row>
    <row r="72" spans="1:18" x14ac:dyDescent="0.3">
      <c r="A72" s="20">
        <v>45709</v>
      </c>
      <c r="B72">
        <v>186.34846661531262</v>
      </c>
      <c r="C72">
        <v>186.68648302267232</v>
      </c>
      <c r="D72">
        <v>180.075206586273</v>
      </c>
      <c r="E72">
        <v>180.5225830078125</v>
      </c>
      <c r="F72">
        <v>64501100</v>
      </c>
      <c r="G72">
        <v>187.281922435485</v>
      </c>
      <c r="H72">
        <v>181.23902120347984</v>
      </c>
      <c r="I72">
        <v>49.983518348145694</v>
      </c>
      <c r="J72">
        <v>4.5408033965629313</v>
      </c>
      <c r="K72">
        <v>6.042901232005164</v>
      </c>
      <c r="L72">
        <v>6.6431326357829761</v>
      </c>
      <c r="M72">
        <v>207.91401866668286</v>
      </c>
      <c r="N72">
        <v>181.9387351989746</v>
      </c>
      <c r="O72">
        <v>155.96345173126633</v>
      </c>
      <c r="P72">
        <v>37.765802693876857</v>
      </c>
      <c r="Q72">
        <v>46.065232821104452</v>
      </c>
      <c r="R72">
        <v>-62.23419730612315</v>
      </c>
    </row>
    <row r="73" spans="1:18" x14ac:dyDescent="0.3">
      <c r="A73" s="20">
        <v>45716</v>
      </c>
      <c r="B73">
        <v>182.72967414009406</v>
      </c>
      <c r="C73">
        <v>184.01215536372919</v>
      </c>
      <c r="D73">
        <v>167.40941862094246</v>
      </c>
      <c r="E73">
        <v>171.21711730957031</v>
      </c>
      <c r="F73">
        <v>119184000</v>
      </c>
      <c r="G73">
        <v>184.81039650166684</v>
      </c>
      <c r="H73">
        <v>180.49350023494711</v>
      </c>
      <c r="I73">
        <v>43.616199476559196</v>
      </c>
      <c r="J73">
        <v>3.509278155370299</v>
      </c>
      <c r="K73">
        <v>4.3168962667197377</v>
      </c>
      <c r="L73">
        <v>6.1778853007249994</v>
      </c>
      <c r="M73">
        <v>207.34538632888922</v>
      </c>
      <c r="N73">
        <v>182.33076095581055</v>
      </c>
      <c r="O73">
        <v>157.31613558273187</v>
      </c>
      <c r="P73">
        <v>12.074659818452631</v>
      </c>
      <c r="Q73">
        <v>33.248530930245074</v>
      </c>
      <c r="R73">
        <v>-87.925340181547369</v>
      </c>
    </row>
    <row r="74" spans="1:18" x14ac:dyDescent="0.3">
      <c r="A74" s="20">
        <v>45723</v>
      </c>
      <c r="B74">
        <v>172.71829330911331</v>
      </c>
      <c r="C74">
        <v>175.86984432730586</v>
      </c>
      <c r="D74">
        <v>166.56434510957851</v>
      </c>
      <c r="E74">
        <v>174.72654724121094</v>
      </c>
      <c r="F74">
        <v>109159100</v>
      </c>
      <c r="G74">
        <v>183.25902580724141</v>
      </c>
      <c r="H74">
        <v>180.0646365981753</v>
      </c>
      <c r="I74">
        <v>46.389899831008556</v>
      </c>
      <c r="J74">
        <v>3.2021855914130759</v>
      </c>
      <c r="K74">
        <v>3.1943892090661166</v>
      </c>
      <c r="L74">
        <v>5.5811860195534537</v>
      </c>
      <c r="M74">
        <v>206.64545709495508</v>
      </c>
      <c r="N74">
        <v>182.87194366455077</v>
      </c>
      <c r="O74">
        <v>159.09843023414646</v>
      </c>
      <c r="P74">
        <v>19.946588226963495</v>
      </c>
      <c r="Q74">
        <v>23.262350246430994</v>
      </c>
      <c r="R74">
        <v>-80.053411773036501</v>
      </c>
    </row>
    <row r="75" spans="1:18" x14ac:dyDescent="0.3">
      <c r="A75" s="20">
        <v>45730</v>
      </c>
      <c r="B75">
        <v>169.36182521393604</v>
      </c>
      <c r="C75">
        <v>169.6504582133615</v>
      </c>
      <c r="D75">
        <v>162.47427853978863</v>
      </c>
      <c r="E75">
        <v>166.83375549316406</v>
      </c>
      <c r="F75">
        <v>106394000</v>
      </c>
      <c r="G75">
        <v>180.73204836730892</v>
      </c>
      <c r="H75">
        <v>179.0809994188543</v>
      </c>
      <c r="I75">
        <v>41.451114397407423</v>
      </c>
      <c r="J75">
        <v>-4.8096989203088025</v>
      </c>
      <c r="K75">
        <v>1.6510489484546156</v>
      </c>
      <c r="L75">
        <v>4.795158539111001</v>
      </c>
      <c r="M75">
        <v>206.54788325078962</v>
      </c>
      <c r="N75">
        <v>182.92216033935546</v>
      </c>
      <c r="O75">
        <v>159.29643742792129</v>
      </c>
      <c r="P75">
        <v>9.6854970702812597</v>
      </c>
      <c r="Q75">
        <v>13.902248371899129</v>
      </c>
      <c r="R75">
        <v>-90.314502929718742</v>
      </c>
    </row>
    <row r="76" spans="1:18" x14ac:dyDescent="0.3">
      <c r="A76" s="20">
        <v>45737</v>
      </c>
      <c r="B76">
        <v>166.54011391301282</v>
      </c>
      <c r="C76">
        <v>167.66979960915563</v>
      </c>
      <c r="D76">
        <v>158.05511001359008</v>
      </c>
      <c r="E76">
        <v>165.47015380859375</v>
      </c>
      <c r="F76">
        <v>117275200</v>
      </c>
      <c r="G76">
        <v>178.38405454409963</v>
      </c>
      <c r="H76">
        <v>178.06938724517738</v>
      </c>
      <c r="I76">
        <v>40.646002704805824</v>
      </c>
      <c r="J76">
        <v>-13.031987028561964</v>
      </c>
      <c r="K76">
        <v>0.31466729892224521</v>
      </c>
      <c r="L76">
        <v>3.8990602306763433</v>
      </c>
      <c r="M76">
        <v>206.99962551588553</v>
      </c>
      <c r="N76">
        <v>182.62316284179687</v>
      </c>
      <c r="O76">
        <v>158.24670016770821</v>
      </c>
      <c r="P76">
        <v>15.001243673227977</v>
      </c>
      <c r="Q76">
        <v>14.877776323490911</v>
      </c>
      <c r="R76">
        <v>-84.998756326772025</v>
      </c>
    </row>
    <row r="77" spans="1:18" x14ac:dyDescent="0.3">
      <c r="A77" s="20">
        <v>45744</v>
      </c>
      <c r="B77">
        <v>168.47101484373093</v>
      </c>
      <c r="C77">
        <v>172.09890909545118</v>
      </c>
      <c r="D77">
        <v>154.61034611854916</v>
      </c>
      <c r="E77">
        <v>155.32795715332031</v>
      </c>
      <c r="F77">
        <v>111520100</v>
      </c>
      <c r="G77">
        <v>174.83694979756118</v>
      </c>
      <c r="H77">
        <v>176.37957601058335</v>
      </c>
      <c r="I77">
        <v>35.173732200310752</v>
      </c>
      <c r="J77">
        <v>-19.031002245751061</v>
      </c>
      <c r="K77">
        <v>-1.5426262130221744</v>
      </c>
      <c r="L77">
        <v>2.810722883253606</v>
      </c>
      <c r="M77">
        <v>208.69806909607624</v>
      </c>
      <c r="N77">
        <v>181.45906219482421</v>
      </c>
      <c r="O77">
        <v>154.22005529357219</v>
      </c>
      <c r="P77">
        <v>1.357202190957556</v>
      </c>
      <c r="Q77">
        <v>8.6813143114889311</v>
      </c>
      <c r="R77">
        <v>-98.642797809042449</v>
      </c>
    </row>
    <row r="78" spans="1:18" x14ac:dyDescent="0.3">
      <c r="A78" s="20">
        <v>45751</v>
      </c>
      <c r="B78">
        <v>154.08382453461124</v>
      </c>
      <c r="C78">
        <v>159.52317824352485</v>
      </c>
      <c r="D78">
        <v>146.84792306646924</v>
      </c>
      <c r="E78">
        <v>147.0469970703125</v>
      </c>
      <c r="F78">
        <v>139064600</v>
      </c>
      <c r="G78">
        <v>170.56155935931727</v>
      </c>
      <c r="H78">
        <v>174.20051086464997</v>
      </c>
      <c r="I78">
        <v>31.450572859181236</v>
      </c>
      <c r="J78">
        <v>-23.774307890867906</v>
      </c>
      <c r="K78">
        <v>-3.6389515053326988</v>
      </c>
      <c r="L78">
        <v>1.5207879498938222</v>
      </c>
      <c r="M78">
        <v>211.29211553940539</v>
      </c>
      <c r="N78">
        <v>180.17733917236328</v>
      </c>
      <c r="O78">
        <v>149.06256280532116</v>
      </c>
      <c r="P78">
        <v>0.32830605554685255</v>
      </c>
      <c r="Q78">
        <v>5.562250639910796</v>
      </c>
      <c r="R78">
        <v>-99.671693944453139</v>
      </c>
    </row>
    <row r="79" spans="1:18" x14ac:dyDescent="0.3">
      <c r="A79" s="20">
        <v>45758</v>
      </c>
      <c r="B79">
        <v>142.71738273112911</v>
      </c>
      <c r="C79">
        <v>161.11070245214586</v>
      </c>
      <c r="D79">
        <v>141.99081128205492</v>
      </c>
      <c r="E79">
        <v>158.65229797363281</v>
      </c>
      <c r="F79">
        <v>187459400</v>
      </c>
      <c r="G79">
        <v>168.72936055131953</v>
      </c>
      <c r="H79">
        <v>173.04570906730663</v>
      </c>
      <c r="I79">
        <v>40.89316577731352</v>
      </c>
      <c r="J79">
        <v>-17.370873475623448</v>
      </c>
      <c r="K79">
        <v>-4.3163485159871016</v>
      </c>
      <c r="L79">
        <v>0.35336061643120104</v>
      </c>
      <c r="M79">
        <v>211.76573756552961</v>
      </c>
      <c r="N79">
        <v>179.83933715820314</v>
      </c>
      <c r="O79">
        <v>147.91293675087667</v>
      </c>
      <c r="P79">
        <v>25.439782300138774</v>
      </c>
      <c r="Q79">
        <v>9.0417635155477267</v>
      </c>
      <c r="R79">
        <v>-74.560217699861226</v>
      </c>
    </row>
    <row r="80" spans="1:18" x14ac:dyDescent="0.3">
      <c r="A80" s="20">
        <v>45765</v>
      </c>
      <c r="B80">
        <v>161.54862623422963</v>
      </c>
      <c r="C80">
        <v>163.2605591927985</v>
      </c>
      <c r="D80">
        <v>150.19215759771481</v>
      </c>
      <c r="E80">
        <v>152.640625</v>
      </c>
      <c r="F80">
        <v>70381600</v>
      </c>
      <c r="G80">
        <v>166.25416503828077</v>
      </c>
      <c r="H80">
        <v>171.53047657829745</v>
      </c>
      <c r="I80">
        <v>37.975006954622444</v>
      </c>
      <c r="J80">
        <v>-20.518346450161406</v>
      </c>
      <c r="K80">
        <v>-5.2763115400166782</v>
      </c>
      <c r="L80">
        <v>-0.77257384594203082</v>
      </c>
      <c r="M80">
        <v>212.89933880245445</v>
      </c>
      <c r="N80">
        <v>179.00611419677733</v>
      </c>
      <c r="O80">
        <v>145.11288959110021</v>
      </c>
      <c r="P80">
        <v>16.260790380638991</v>
      </c>
      <c r="Q80">
        <v>14.009626245441538</v>
      </c>
      <c r="R80">
        <v>-83.739209619361006</v>
      </c>
    </row>
    <row r="81" spans="1:18" x14ac:dyDescent="0.3">
      <c r="A81" s="20">
        <v>45772</v>
      </c>
      <c r="B81">
        <v>150.25684054456681</v>
      </c>
      <c r="C81">
        <v>167.45082774334685</v>
      </c>
      <c r="D81">
        <v>147.70387017273188</v>
      </c>
      <c r="E81">
        <v>163.0814208984375</v>
      </c>
      <c r="F81">
        <v>116569400</v>
      </c>
      <c r="G81">
        <v>165.76604964945406</v>
      </c>
      <c r="H81">
        <v>170.90318513677704</v>
      </c>
      <c r="I81">
        <v>45.278626219937337</v>
      </c>
      <c r="J81">
        <v>-16.964489449155849</v>
      </c>
      <c r="K81">
        <v>-5.1371354873229791</v>
      </c>
      <c r="L81">
        <v>-1.6454861934970029</v>
      </c>
      <c r="M81">
        <v>213.00377955452186</v>
      </c>
      <c r="N81">
        <v>178.39701538085939</v>
      </c>
      <c r="O81">
        <v>143.79025120719692</v>
      </c>
      <c r="P81">
        <v>32.202439503144618</v>
      </c>
      <c r="Q81">
        <v>24.634337394640795</v>
      </c>
      <c r="R81">
        <v>-67.797560496855397</v>
      </c>
    </row>
    <row r="82" spans="1:18" x14ac:dyDescent="0.3">
      <c r="A82" s="20">
        <v>45779</v>
      </c>
      <c r="B82">
        <v>163.48949220916532</v>
      </c>
      <c r="C82">
        <v>165.91805119958826</v>
      </c>
      <c r="D82">
        <v>156.41781914111445</v>
      </c>
      <c r="E82">
        <v>165.0322265625</v>
      </c>
      <c r="F82">
        <v>96215100</v>
      </c>
      <c r="G82">
        <v>165.65315361265672</v>
      </c>
      <c r="H82">
        <v>170.46737590345182</v>
      </c>
      <c r="I82">
        <v>46.545179209514622</v>
      </c>
      <c r="J82">
        <v>-17.781617227167491</v>
      </c>
      <c r="K82">
        <v>-4.8142222907951009</v>
      </c>
      <c r="L82">
        <v>-2.2792334241539667</v>
      </c>
      <c r="M82">
        <v>211.76011595705887</v>
      </c>
      <c r="N82">
        <v>177.13535003662111</v>
      </c>
      <c r="O82">
        <v>142.51058411618334</v>
      </c>
      <c r="P82">
        <v>35.181049534908091</v>
      </c>
      <c r="Q82">
        <v>27.881426472897232</v>
      </c>
      <c r="R82">
        <v>-64.818950465091902</v>
      </c>
    </row>
    <row r="83" spans="1:18" x14ac:dyDescent="0.3">
      <c r="A83" s="20">
        <v>45786</v>
      </c>
      <c r="B83">
        <v>163.74329957171147</v>
      </c>
      <c r="C83">
        <v>166.31618064829416</v>
      </c>
      <c r="D83">
        <v>148.78879579096861</v>
      </c>
      <c r="E83">
        <v>153.65583801269531</v>
      </c>
      <c r="F83">
        <v>165989500</v>
      </c>
      <c r="G83">
        <v>163.80741029885996</v>
      </c>
      <c r="H83">
        <v>169.21962885147556</v>
      </c>
      <c r="I83">
        <v>40.638075479439742</v>
      </c>
      <c r="J83">
        <v>-24.826913218735179</v>
      </c>
      <c r="K83">
        <v>-5.4122185526155988</v>
      </c>
      <c r="L83">
        <v>-2.9058304587031016</v>
      </c>
      <c r="M83">
        <v>210.63947920647848</v>
      </c>
      <c r="N83">
        <v>175.22632522583007</v>
      </c>
      <c r="O83">
        <v>139.81317124518165</v>
      </c>
      <c r="P83">
        <v>17.810880028058733</v>
      </c>
      <c r="Q83">
        <v>28.398123022037144</v>
      </c>
      <c r="R83">
        <v>-82.189119971941267</v>
      </c>
    </row>
    <row r="84" spans="1:18" x14ac:dyDescent="0.3">
      <c r="A84" s="20">
        <v>45793</v>
      </c>
      <c r="B84">
        <v>158.35369201711134</v>
      </c>
      <c r="C84">
        <v>169.84951984819688</v>
      </c>
      <c r="D84">
        <v>156.84082859675152</v>
      </c>
      <c r="E84">
        <v>166.64462280273438</v>
      </c>
      <c r="F84">
        <v>147587400</v>
      </c>
      <c r="G84">
        <v>164.24390502093453</v>
      </c>
      <c r="H84">
        <v>169.02854053745136</v>
      </c>
      <c r="I84">
        <v>48.650834286894614</v>
      </c>
      <c r="J84">
        <v>-10.430298990723108</v>
      </c>
      <c r="K84">
        <v>-4.7846355165168291</v>
      </c>
      <c r="L84">
        <v>-3.2815914745148849</v>
      </c>
      <c r="M84">
        <v>208.50351211320398</v>
      </c>
      <c r="N84">
        <v>173.91305541992188</v>
      </c>
      <c r="O84">
        <v>139.32259872663977</v>
      </c>
      <c r="P84">
        <v>52.574842060047466</v>
      </c>
      <c r="Q84">
        <v>35.188923874338094</v>
      </c>
      <c r="R84">
        <v>-47.425157939952527</v>
      </c>
    </row>
    <row r="85" spans="1:18" x14ac:dyDescent="0.3">
      <c r="A85" s="20">
        <v>45800</v>
      </c>
      <c r="B85">
        <v>164.93767500707031</v>
      </c>
      <c r="C85">
        <v>177.29443974569949</v>
      </c>
      <c r="D85">
        <v>163.48949979232518</v>
      </c>
      <c r="E85">
        <v>168.79449462890625</v>
      </c>
      <c r="F85">
        <v>170493300</v>
      </c>
      <c r="G85">
        <v>164.94399639581513</v>
      </c>
      <c r="H85">
        <v>169.01117459381297</v>
      </c>
      <c r="I85">
        <v>49.857287955100126</v>
      </c>
      <c r="J85">
        <v>-9.1436712438217604</v>
      </c>
      <c r="K85">
        <v>-4.0671781979978334</v>
      </c>
      <c r="L85">
        <v>-3.4387088206327987</v>
      </c>
      <c r="M85">
        <v>206.32978536795491</v>
      </c>
      <c r="N85">
        <v>172.75251541137695</v>
      </c>
      <c r="O85">
        <v>139.17524545479898</v>
      </c>
      <c r="P85">
        <v>59.969304192140285</v>
      </c>
      <c r="Q85">
        <v>43.451675426748828</v>
      </c>
      <c r="R85">
        <v>-40.030695807859715</v>
      </c>
    </row>
    <row r="86" spans="1:18" x14ac:dyDescent="0.3">
      <c r="A86" s="20">
        <v>45807</v>
      </c>
      <c r="B86">
        <v>170.49648824484561</v>
      </c>
      <c r="C86">
        <v>175.65216078821535</v>
      </c>
      <c r="D86">
        <v>167.73449030299477</v>
      </c>
      <c r="E86">
        <v>172.03921508789063</v>
      </c>
      <c r="F86">
        <v>107773500</v>
      </c>
      <c r="G86">
        <v>166.03556938089949</v>
      </c>
      <c r="H86">
        <v>169.23582376180428</v>
      </c>
      <c r="I86">
        <v>51.70170226453731</v>
      </c>
      <c r="J86">
        <v>-4.6993388741588866</v>
      </c>
      <c r="K86">
        <v>-3.200254380904795</v>
      </c>
      <c r="L86">
        <v>-3.3910179323420588</v>
      </c>
      <c r="M86">
        <v>204.0781923160024</v>
      </c>
      <c r="N86">
        <v>171.75222091674806</v>
      </c>
      <c r="O86">
        <v>139.42624951749372</v>
      </c>
      <c r="P86">
        <v>71.507479026450198</v>
      </c>
      <c r="Q86">
        <v>61.350541759545983</v>
      </c>
      <c r="R86">
        <v>-28.492520973549794</v>
      </c>
    </row>
    <row r="87" spans="1:18" x14ac:dyDescent="0.3">
      <c r="A87" s="20">
        <v>45814</v>
      </c>
      <c r="B87">
        <v>168.21722525442021</v>
      </c>
      <c r="C87">
        <v>175.00523767988767</v>
      </c>
      <c r="D87">
        <v>165.89814206320585</v>
      </c>
      <c r="E87">
        <v>174.09950256347656</v>
      </c>
      <c r="F87">
        <v>116271800</v>
      </c>
      <c r="G87">
        <v>167.27617533085382</v>
      </c>
      <c r="H87">
        <v>169.5966165474251</v>
      </c>
      <c r="I87">
        <v>52.886731637582749</v>
      </c>
      <c r="J87">
        <v>1.6834679261038765</v>
      </c>
      <c r="K87">
        <v>-2.3204412165712824</v>
      </c>
      <c r="L87">
        <v>-3.1769025879482604</v>
      </c>
      <c r="M87">
        <v>200.85310913494183</v>
      </c>
      <c r="N87">
        <v>170.637215423584</v>
      </c>
      <c r="O87">
        <v>140.42132171222616</v>
      </c>
      <c r="P87">
        <v>90.95011668414466</v>
      </c>
      <c r="Q87">
        <v>74.142299967578381</v>
      </c>
      <c r="R87">
        <v>-9.0498833158553484</v>
      </c>
    </row>
    <row r="88" spans="1:18" x14ac:dyDescent="0.3">
      <c r="A88" s="20">
        <v>45821</v>
      </c>
      <c r="B88">
        <v>175.25544814236912</v>
      </c>
      <c r="C88">
        <v>181.80747007624001</v>
      </c>
      <c r="D88">
        <v>172.96350091141545</v>
      </c>
      <c r="E88">
        <v>175.26542663574219</v>
      </c>
      <c r="F88">
        <v>108939100</v>
      </c>
      <c r="G88">
        <v>168.50529162455121</v>
      </c>
      <c r="H88">
        <v>170.01708983559124</v>
      </c>
      <c r="I88">
        <v>53.58083121531206</v>
      </c>
      <c r="J88">
        <v>0.30841300480075606</v>
      </c>
      <c r="K88">
        <v>-1.5117982110400305</v>
      </c>
      <c r="L88">
        <v>-2.8438817110241672</v>
      </c>
      <c r="M88">
        <v>196.19918759655914</v>
      </c>
      <c r="N88">
        <v>169.36427459716796</v>
      </c>
      <c r="O88">
        <v>142.52936159777678</v>
      </c>
      <c r="P88">
        <v>83.56958208293149</v>
      </c>
      <c r="Q88">
        <v>82.009059264508778</v>
      </c>
      <c r="R88">
        <v>-16.43041791706851</v>
      </c>
    </row>
    <row r="89" spans="1:18" x14ac:dyDescent="0.3">
      <c r="A89" s="20">
        <v>45828</v>
      </c>
      <c r="B89">
        <v>175.2903142659251</v>
      </c>
      <c r="C89">
        <v>178.09049871380665</v>
      </c>
      <c r="D89">
        <v>165.68898550385754</v>
      </c>
      <c r="E89">
        <v>167.14387512207031</v>
      </c>
      <c r="F89">
        <v>123723000</v>
      </c>
      <c r="G89">
        <v>168.29584282972797</v>
      </c>
      <c r="H89">
        <v>169.80399566204014</v>
      </c>
      <c r="I89">
        <v>48.24851478252566</v>
      </c>
      <c r="J89">
        <v>0.18588542108251005</v>
      </c>
      <c r="K89">
        <v>-1.5081528323121631</v>
      </c>
      <c r="L89">
        <v>-2.5767359342918987</v>
      </c>
      <c r="M89">
        <v>188.66913632305435</v>
      </c>
      <c r="N89">
        <v>167.50133209228517</v>
      </c>
      <c r="O89">
        <v>146.33352786151599</v>
      </c>
      <c r="P89">
        <v>63.172211335042505</v>
      </c>
      <c r="Q89">
        <v>79.230636700706214</v>
      </c>
      <c r="R89">
        <v>-36.827788664957488</v>
      </c>
    </row>
    <row r="90" spans="1:18" x14ac:dyDescent="0.3">
      <c r="A90" s="20">
        <v>45835</v>
      </c>
      <c r="B90">
        <v>166.73532094667044</v>
      </c>
      <c r="C90">
        <v>178.2150492077925</v>
      </c>
      <c r="D90">
        <v>162.7592582084435</v>
      </c>
      <c r="E90">
        <v>177.64704895019531</v>
      </c>
      <c r="F90">
        <v>187875500</v>
      </c>
      <c r="G90">
        <v>169.73449051878703</v>
      </c>
      <c r="H90">
        <v>170.38562839460428</v>
      </c>
      <c r="I90">
        <v>54.548262909024629</v>
      </c>
      <c r="J90">
        <v>7.3589676816805838</v>
      </c>
      <c r="K90">
        <v>-0.65113787581725546</v>
      </c>
      <c r="L90">
        <v>-2.1916163214553692</v>
      </c>
      <c r="M90">
        <v>186.99522315381716</v>
      </c>
      <c r="N90">
        <v>167.0811737060547</v>
      </c>
      <c r="O90">
        <v>147.16712425829223</v>
      </c>
      <c r="P90">
        <v>89.55105412648966</v>
      </c>
      <c r="Q90">
        <v>78.764282514821218</v>
      </c>
      <c r="R90">
        <v>-10.448945873510343</v>
      </c>
    </row>
    <row r="91" spans="1:18" x14ac:dyDescent="0.3">
      <c r="A91" s="20">
        <v>45842</v>
      </c>
      <c r="B91">
        <v>180.15326708487888</v>
      </c>
      <c r="C91">
        <v>180.94548720580039</v>
      </c>
      <c r="D91">
        <v>174.04968655010248</v>
      </c>
      <c r="E91">
        <v>179.91908264160156</v>
      </c>
      <c r="F91">
        <v>102356400</v>
      </c>
      <c r="G91">
        <v>171.30135139241636</v>
      </c>
      <c r="H91">
        <v>171.09255950296637</v>
      </c>
      <c r="I91">
        <v>55.801650293300128</v>
      </c>
      <c r="J91">
        <v>15.831744612470477</v>
      </c>
      <c r="K91">
        <v>0.20879188944999783</v>
      </c>
      <c r="L91">
        <v>-1.7115346781358198</v>
      </c>
      <c r="M91">
        <v>185.68992223535946</v>
      </c>
      <c r="N91">
        <v>166.78803939819335</v>
      </c>
      <c r="O91">
        <v>147.88615656102724</v>
      </c>
      <c r="P91">
        <v>95.257293073234379</v>
      </c>
      <c r="Q91">
        <v>82.660186178255515</v>
      </c>
      <c r="R91">
        <v>-4.7427069267656137</v>
      </c>
    </row>
    <row r="92" spans="1:18" x14ac:dyDescent="0.3">
      <c r="A92" s="20">
        <v>45849</v>
      </c>
      <c r="B92">
        <v>179.5055282618257</v>
      </c>
      <c r="C92">
        <v>181.97189776695831</v>
      </c>
      <c r="D92">
        <v>173.27240963745851</v>
      </c>
      <c r="E92">
        <v>180.67643737792969</v>
      </c>
      <c r="F92">
        <v>125057400</v>
      </c>
      <c r="G92">
        <v>172.74367273935519</v>
      </c>
      <c r="H92">
        <v>171.80317380508669</v>
      </c>
      <c r="I92">
        <v>56.234893819204274</v>
      </c>
      <c r="J92">
        <v>22.869858601421701</v>
      </c>
      <c r="K92">
        <v>0.94049893426850417</v>
      </c>
      <c r="L92">
        <v>-1.1811279546487006</v>
      </c>
      <c r="M92">
        <v>185.72126100160096</v>
      </c>
      <c r="N92">
        <v>166.79573211669921</v>
      </c>
      <c r="O92">
        <v>147.87020323179746</v>
      </c>
      <c r="P92">
        <v>96.759816946150835</v>
      </c>
      <c r="Q92">
        <v>93.85605471529162</v>
      </c>
      <c r="R92">
        <v>-3.2401830538491674</v>
      </c>
    </row>
    <row r="93" spans="1:18" x14ac:dyDescent="0.3">
      <c r="A93" s="20">
        <v>45856</v>
      </c>
      <c r="B93">
        <v>181.433768736665</v>
      </c>
      <c r="C93">
        <v>186.70528880516724</v>
      </c>
      <c r="D93">
        <v>180.07950896609893</v>
      </c>
      <c r="E93">
        <v>185.29025268554688</v>
      </c>
      <c r="F93">
        <v>108742400</v>
      </c>
      <c r="G93">
        <v>174.67391629050462</v>
      </c>
      <c r="H93">
        <v>172.80312537819634</v>
      </c>
      <c r="I93">
        <v>58.879322349669323</v>
      </c>
      <c r="J93">
        <v>16.790147418060819</v>
      </c>
      <c r="K93">
        <v>1.87079091230828</v>
      </c>
      <c r="L93">
        <v>-0.57074418033091889</v>
      </c>
      <c r="M93">
        <v>188.09029282544816</v>
      </c>
      <c r="N93">
        <v>167.49938888549804</v>
      </c>
      <c r="O93">
        <v>146.90848494554791</v>
      </c>
      <c r="P93">
        <v>96.371834232605167</v>
      </c>
      <c r="Q93">
        <v>96.129648083996798</v>
      </c>
      <c r="R93">
        <v>-3.6281657673948273</v>
      </c>
    </row>
    <row r="94" spans="1:18" x14ac:dyDescent="0.3">
      <c r="A94" s="20">
        <v>45863</v>
      </c>
      <c r="B94">
        <v>186.44618993196167</v>
      </c>
      <c r="C94">
        <v>198.27471318507006</v>
      </c>
      <c r="D94">
        <v>186.39636161458549</v>
      </c>
      <c r="E94">
        <v>193.40180969238281</v>
      </c>
      <c r="F94">
        <v>161299900</v>
      </c>
      <c r="G94">
        <v>177.55513126944098</v>
      </c>
      <c r="H94">
        <v>174.33023879460944</v>
      </c>
      <c r="I94">
        <v>63.100669219474263</v>
      </c>
      <c r="J94">
        <v>26.70402109031118</v>
      </c>
      <c r="K94">
        <v>3.2248924748315346</v>
      </c>
      <c r="L94">
        <v>0.18838315162327987</v>
      </c>
      <c r="M94">
        <v>191.8973267540843</v>
      </c>
      <c r="N94">
        <v>168.43315200805665</v>
      </c>
      <c r="O94">
        <v>144.968977262029</v>
      </c>
      <c r="P94">
        <v>90.364203555993001</v>
      </c>
      <c r="Q94">
        <v>94.498618244916329</v>
      </c>
      <c r="R94">
        <v>-9.6357964440069974</v>
      </c>
    </row>
    <row r="95" spans="1:18" x14ac:dyDescent="0.3">
      <c r="A95" s="20">
        <v>45870</v>
      </c>
      <c r="B95">
        <v>193.73065611914654</v>
      </c>
      <c r="C95">
        <v>197.78642013155317</v>
      </c>
      <c r="D95">
        <v>188.04059243968601</v>
      </c>
      <c r="E95">
        <v>189.28622436523438</v>
      </c>
      <c r="F95">
        <v>127684300</v>
      </c>
      <c r="G95">
        <v>179.35991514564785</v>
      </c>
      <c r="H95">
        <v>175.43895337224404</v>
      </c>
      <c r="I95">
        <v>59.749202153431931</v>
      </c>
      <c r="J95">
        <v>16.068540071843309</v>
      </c>
      <c r="K95">
        <v>3.9209617734038034</v>
      </c>
      <c r="L95">
        <v>0.93489887670450089</v>
      </c>
      <c r="M95">
        <v>194.78016839947267</v>
      </c>
      <c r="N95">
        <v>169.55577545166017</v>
      </c>
      <c r="O95">
        <v>144.33138250384766</v>
      </c>
      <c r="P95">
        <v>81.836269199068994</v>
      </c>
      <c r="Q95">
        <v>89.524102329222387</v>
      </c>
      <c r="R95">
        <v>-18.163730800931006</v>
      </c>
    </row>
    <row r="96" spans="1:18" x14ac:dyDescent="0.3">
      <c r="A96" s="20">
        <v>45877</v>
      </c>
      <c r="B96">
        <v>190.50696874260998</v>
      </c>
      <c r="C96">
        <v>202.71913347803348</v>
      </c>
      <c r="D96">
        <v>190.25285493869379</v>
      </c>
      <c r="E96">
        <v>201.38381958007813</v>
      </c>
      <c r="F96">
        <v>96820400</v>
      </c>
      <c r="G96">
        <v>182.74820864867948</v>
      </c>
      <c r="H96">
        <v>177.36218270196082</v>
      </c>
      <c r="I96">
        <v>65.542625852249984</v>
      </c>
      <c r="J96">
        <v>22.026966353635945</v>
      </c>
      <c r="K96">
        <v>5.3860259467186609</v>
      </c>
      <c r="L96">
        <v>1.8251242913990979</v>
      </c>
      <c r="M96">
        <v>200.2036228199913</v>
      </c>
      <c r="N96">
        <v>171.35145874023436</v>
      </c>
      <c r="O96">
        <v>142.49929466047743</v>
      </c>
      <c r="P96">
        <v>97.524002342237083</v>
      </c>
      <c r="Q96">
        <v>89.90815836576634</v>
      </c>
      <c r="R96">
        <v>-2.4759976577629192</v>
      </c>
    </row>
    <row r="97" spans="1:18" x14ac:dyDescent="0.3">
      <c r="A97" s="20">
        <v>45884</v>
      </c>
      <c r="B97">
        <v>200.85069546610376</v>
      </c>
      <c r="C97">
        <v>206.60549605720482</v>
      </c>
      <c r="D97">
        <v>197.94586724734532</v>
      </c>
      <c r="E97">
        <v>204.19395446777344</v>
      </c>
      <c r="F97">
        <v>95005700</v>
      </c>
      <c r="G97">
        <v>186.04755458208936</v>
      </c>
      <c r="H97">
        <v>179.35104981284792</v>
      </c>
      <c r="I97">
        <v>66.740175567389656</v>
      </c>
      <c r="J97">
        <v>32.890462938936672</v>
      </c>
      <c r="K97">
        <v>6.696504769241443</v>
      </c>
      <c r="L97">
        <v>2.7994003875732294</v>
      </c>
      <c r="M97">
        <v>205.10511557827212</v>
      </c>
      <c r="N97">
        <v>173.79475860595704</v>
      </c>
      <c r="O97">
        <v>142.48440163364197</v>
      </c>
      <c r="P97">
        <v>95.15410890397736</v>
      </c>
      <c r="Q97">
        <v>91.504793481761155</v>
      </c>
      <c r="R97">
        <v>-4.8458910960226351</v>
      </c>
    </row>
    <row r="98" spans="1:18" x14ac:dyDescent="0.3">
      <c r="A98" s="20">
        <v>45891</v>
      </c>
      <c r="B98">
        <v>204.35341447003961</v>
      </c>
      <c r="C98">
        <v>208.49888930975783</v>
      </c>
      <c r="D98">
        <v>196.77002221216009</v>
      </c>
      <c r="E98">
        <v>205.99766540527344</v>
      </c>
      <c r="F98">
        <v>77941100</v>
      </c>
      <c r="G98">
        <v>189.11680273382896</v>
      </c>
      <c r="H98">
        <v>181.32609469842356</v>
      </c>
      <c r="I98">
        <v>67.520447290338396</v>
      </c>
      <c r="J98">
        <v>23.614948949851943</v>
      </c>
      <c r="K98">
        <v>7.7907080354054017</v>
      </c>
      <c r="L98">
        <v>3.7976619176361224</v>
      </c>
      <c r="M98">
        <v>208.54574449843602</v>
      </c>
      <c r="N98">
        <v>176.74229202270507</v>
      </c>
      <c r="O98">
        <v>144.93883954697412</v>
      </c>
      <c r="P98">
        <v>94.531604553294002</v>
      </c>
      <c r="Q98">
        <v>95.736571933169486</v>
      </c>
      <c r="R98">
        <v>-5.4683954467059923</v>
      </c>
    </row>
    <row r="99" spans="1:18" x14ac:dyDescent="0.3">
      <c r="A99" s="20">
        <v>45898</v>
      </c>
      <c r="B99">
        <v>206.2766519958767</v>
      </c>
      <c r="C99">
        <v>214.58751673492335</v>
      </c>
      <c r="D99">
        <v>205.23031811132572</v>
      </c>
      <c r="E99">
        <v>212.78384399414063</v>
      </c>
      <c r="F99">
        <v>106686700</v>
      </c>
      <c r="G99">
        <v>192.75788633869956</v>
      </c>
      <c r="H99">
        <v>183.65763352550525</v>
      </c>
      <c r="I99">
        <v>70.339762115315267</v>
      </c>
      <c r="J99">
        <v>26.060891062794855</v>
      </c>
      <c r="K99">
        <v>9.1002528131943166</v>
      </c>
      <c r="L99">
        <v>4.858180097169698</v>
      </c>
      <c r="M99">
        <v>213.87550350386874</v>
      </c>
      <c r="N99">
        <v>179.44886932373046</v>
      </c>
      <c r="O99">
        <v>145.02223514359218</v>
      </c>
      <c r="P99">
        <v>96.519904793132866</v>
      </c>
      <c r="Q99">
        <v>95.401872750134729</v>
      </c>
      <c r="R99">
        <v>-3.48009520686713</v>
      </c>
    </row>
    <row r="100" spans="1:18" x14ac:dyDescent="0.3">
      <c r="A100" s="20">
        <v>45905</v>
      </c>
      <c r="B100">
        <v>208.25972012691918</v>
      </c>
      <c r="C100">
        <v>235.30487289445031</v>
      </c>
      <c r="D100">
        <v>206.23681488493534</v>
      </c>
      <c r="E100">
        <v>234.34822082519531</v>
      </c>
      <c r="F100">
        <v>159474100</v>
      </c>
      <c r="G100">
        <v>199.15639983334435</v>
      </c>
      <c r="H100">
        <v>187.41448387392393</v>
      </c>
      <c r="I100">
        <v>77.132544348306595</v>
      </c>
      <c r="J100">
        <v>36.217908635233286</v>
      </c>
      <c r="K100">
        <v>11.741915959420425</v>
      </c>
      <c r="L100">
        <v>6.2349272700580434</v>
      </c>
      <c r="M100">
        <v>223.51086778247461</v>
      </c>
      <c r="N100">
        <v>183.53424911499025</v>
      </c>
      <c r="O100">
        <v>143.55763044750589</v>
      </c>
      <c r="P100">
        <v>98.681309582397773</v>
      </c>
      <c r="Q100">
        <v>96.5776063096082</v>
      </c>
      <c r="R100">
        <v>-1.3186904176022192</v>
      </c>
    </row>
    <row r="101" spans="1:18" x14ac:dyDescent="0.3">
      <c r="A101" s="20">
        <v>45912</v>
      </c>
      <c r="B101">
        <v>235.17605375685537</v>
      </c>
      <c r="C101">
        <v>241.93840867163294</v>
      </c>
      <c r="D101">
        <v>232.77234478890696</v>
      </c>
      <c r="E101">
        <v>240.75152587890625</v>
      </c>
      <c r="F101">
        <v>101818900</v>
      </c>
      <c r="G101">
        <v>205.55565041455199</v>
      </c>
      <c r="H101">
        <v>191.36731656640018</v>
      </c>
      <c r="I101">
        <v>78.692986275557899</v>
      </c>
      <c r="J101">
        <v>38.283867750356393</v>
      </c>
      <c r="K101">
        <v>14.188333848151814</v>
      </c>
      <c r="L101">
        <v>7.825608586081831</v>
      </c>
      <c r="M101">
        <v>233.63232032539545</v>
      </c>
      <c r="N101">
        <v>187.41775436401366</v>
      </c>
      <c r="O101">
        <v>141.20318840263187</v>
      </c>
      <c r="P101">
        <v>98.501016005118075</v>
      </c>
      <c r="Q101">
        <v>97.900743460216233</v>
      </c>
      <c r="R101">
        <v>-1.498983994881931</v>
      </c>
    </row>
    <row r="102" spans="1:18" x14ac:dyDescent="0.3">
      <c r="A102" s="20">
        <v>45919</v>
      </c>
      <c r="B102">
        <v>244.50171855787355</v>
      </c>
      <c r="C102">
        <v>256.03164476102376</v>
      </c>
      <c r="D102">
        <v>244.34213150370573</v>
      </c>
      <c r="E102">
        <v>254.575439453125</v>
      </c>
      <c r="F102">
        <v>137703200</v>
      </c>
      <c r="G102">
        <v>213.09715683965743</v>
      </c>
      <c r="H102">
        <v>196.05152916182217</v>
      </c>
      <c r="I102">
        <v>81.610490027335828</v>
      </c>
      <c r="J102">
        <v>45.251373496619209</v>
      </c>
      <c r="K102">
        <v>17.045627677835256</v>
      </c>
      <c r="L102">
        <v>9.6696124048081451</v>
      </c>
      <c r="M102">
        <v>245.70379212998165</v>
      </c>
      <c r="N102">
        <v>191.89491500854493</v>
      </c>
      <c r="O102">
        <v>138.0860378871082</v>
      </c>
      <c r="P102">
        <v>98.438760535972932</v>
      </c>
      <c r="Q102">
        <v>98.540362041162936</v>
      </c>
      <c r="R102">
        <v>-1.5612394640270648</v>
      </c>
    </row>
    <row r="103" spans="1:18" x14ac:dyDescent="0.3">
      <c r="A103" s="20">
        <v>45926</v>
      </c>
      <c r="B103">
        <v>254.11661969570483</v>
      </c>
      <c r="C103">
        <v>255.64263476673196</v>
      </c>
      <c r="D103">
        <v>241.02079096918851</v>
      </c>
      <c r="E103">
        <v>246.53640747070313</v>
      </c>
      <c r="F103">
        <v>88533000</v>
      </c>
      <c r="G103">
        <v>218.2416571786915</v>
      </c>
      <c r="H103">
        <v>199.79272452535946</v>
      </c>
      <c r="I103">
        <v>75.164918142550718</v>
      </c>
      <c r="J103">
        <v>47.499516384103217</v>
      </c>
      <c r="K103">
        <v>18.448932653332037</v>
      </c>
      <c r="L103">
        <v>11.425476454799064</v>
      </c>
      <c r="M103">
        <v>252.44347328743598</v>
      </c>
      <c r="N103">
        <v>196.5389434814453</v>
      </c>
      <c r="O103">
        <v>140.63441367545462</v>
      </c>
      <c r="P103">
        <v>89.819883846364434</v>
      </c>
      <c r="Q103">
        <v>95.586553462485142</v>
      </c>
      <c r="R103">
        <v>-10.180116153635566</v>
      </c>
    </row>
    <row r="104" spans="1:18" x14ac:dyDescent="0.3">
      <c r="A104" s="20">
        <v>45933</v>
      </c>
      <c r="B104">
        <v>247.62853910804674</v>
      </c>
      <c r="C104">
        <v>250.99275763588014</v>
      </c>
      <c r="D104">
        <v>238.57717679457582</v>
      </c>
      <c r="E104">
        <v>245.80831909179688</v>
      </c>
      <c r="F104">
        <v>110265000</v>
      </c>
      <c r="G104">
        <v>222.48268225717297</v>
      </c>
      <c r="H104">
        <v>203.20261606296043</v>
      </c>
      <c r="I104">
        <v>74.590321641877011</v>
      </c>
      <c r="J104">
        <v>38.368929033384113</v>
      </c>
      <c r="K104">
        <v>19.280066194212537</v>
      </c>
      <c r="L104">
        <v>12.99639440288656</v>
      </c>
      <c r="M104">
        <v>258.65428303449346</v>
      </c>
      <c r="N104">
        <v>200.49712829589845</v>
      </c>
      <c r="O104">
        <v>142.33997355730341</v>
      </c>
      <c r="P104">
        <v>87.646906530778409</v>
      </c>
      <c r="Q104">
        <v>91.968516971038596</v>
      </c>
      <c r="R104">
        <v>-12.353093469221593</v>
      </c>
    </row>
    <row r="105" spans="1:18" x14ac:dyDescent="0.3">
      <c r="A105" s="20">
        <v>45940</v>
      </c>
      <c r="B105">
        <v>245.14005663009837</v>
      </c>
      <c r="C105">
        <v>251.54333892530909</v>
      </c>
      <c r="D105">
        <v>236.06873116387291</v>
      </c>
      <c r="E105">
        <v>236.87164306640625</v>
      </c>
      <c r="F105">
        <v>88081500</v>
      </c>
      <c r="G105">
        <v>224.69636861005793</v>
      </c>
      <c r="H105">
        <v>205.69751840360965</v>
      </c>
      <c r="I105">
        <v>67.744888710765167</v>
      </c>
      <c r="J105">
        <v>31.654541357491283</v>
      </c>
      <c r="K105">
        <v>18.998850206448282</v>
      </c>
      <c r="L105">
        <v>14.196885563724109</v>
      </c>
      <c r="M105">
        <v>262.21417464034823</v>
      </c>
      <c r="N105">
        <v>203.90098571777344</v>
      </c>
      <c r="O105">
        <v>145.58779679519864</v>
      </c>
      <c r="P105">
        <v>76.848503171869226</v>
      </c>
      <c r="Q105">
        <v>84.771764516337342</v>
      </c>
      <c r="R105">
        <v>-23.151496828130785</v>
      </c>
    </row>
    <row r="106" spans="1:18" x14ac:dyDescent="0.3">
      <c r="A106" s="20">
        <v>45947</v>
      </c>
      <c r="B106">
        <v>240.40240508740399</v>
      </c>
      <c r="C106">
        <v>256.9093227130063</v>
      </c>
      <c r="D106">
        <v>240.12313536867433</v>
      </c>
      <c r="E106">
        <v>253.12919616699219</v>
      </c>
      <c r="F106">
        <v>82818300</v>
      </c>
      <c r="G106">
        <v>229.07064989729741</v>
      </c>
      <c r="H106">
        <v>209.21215039744538</v>
      </c>
      <c r="I106">
        <v>72.660455150609266</v>
      </c>
      <c r="J106">
        <v>40.100834309406672</v>
      </c>
      <c r="K106">
        <v>19.85849949985203</v>
      </c>
      <c r="L106">
        <v>15.329208351044169</v>
      </c>
      <c r="M106">
        <v>268.18574126306936</v>
      </c>
      <c r="N106">
        <v>207.95548477172852</v>
      </c>
      <c r="O106">
        <v>147.72522828038768</v>
      </c>
      <c r="P106">
        <v>95.079870220085922</v>
      </c>
      <c r="Q106">
        <v>86.525093307577848</v>
      </c>
      <c r="R106">
        <v>-4.9201297799140873</v>
      </c>
    </row>
    <row r="107" spans="1:18" x14ac:dyDescent="0.3">
      <c r="A107" s="20">
        <v>45954</v>
      </c>
      <c r="B107">
        <v>254.56546678596743</v>
      </c>
      <c r="C107">
        <v>261.82648797010995</v>
      </c>
      <c r="D107">
        <v>244.03294603047038</v>
      </c>
      <c r="E107">
        <v>259.83169555664063</v>
      </c>
      <c r="F107">
        <v>92860700</v>
      </c>
      <c r="G107">
        <v>233.80311857436857</v>
      </c>
      <c r="H107">
        <v>212.96290678008131</v>
      </c>
      <c r="I107">
        <v>74.393058017284915</v>
      </c>
      <c r="J107">
        <v>40.229554329334775</v>
      </c>
      <c r="K107">
        <v>20.840211794287256</v>
      </c>
      <c r="L107">
        <v>16.431409039766361</v>
      </c>
      <c r="M107">
        <v>274.49609248222515</v>
      </c>
      <c r="N107">
        <v>212.24209442138672</v>
      </c>
      <c r="O107">
        <v>149.9880963605483</v>
      </c>
      <c r="P107">
        <v>97.355443362155754</v>
      </c>
      <c r="Q107">
        <v>89.761272251370301</v>
      </c>
      <c r="R107">
        <v>-2.6445566378442491</v>
      </c>
    </row>
    <row r="108" spans="1:18" x14ac:dyDescent="0.3">
      <c r="A108" s="20">
        <v>45961</v>
      </c>
      <c r="B108">
        <v>264.66906450793664</v>
      </c>
      <c r="C108">
        <v>291.16989946521772</v>
      </c>
      <c r="D108">
        <v>264.25017511211036</v>
      </c>
      <c r="E108">
        <v>281.08621215820313</v>
      </c>
      <c r="F108">
        <v>147879600</v>
      </c>
      <c r="G108">
        <v>241.07744081258514</v>
      </c>
      <c r="H108">
        <v>218.01052354883069</v>
      </c>
      <c r="I108">
        <v>78.949012307937181</v>
      </c>
      <c r="J108">
        <v>45.337943117123693</v>
      </c>
      <c r="K108">
        <v>23.066917263754448</v>
      </c>
      <c r="L108">
        <v>17.758510684634842</v>
      </c>
      <c r="M108">
        <v>284.37347442887824</v>
      </c>
      <c r="N108">
        <v>217.53313369750975</v>
      </c>
      <c r="O108">
        <v>150.6927929661413</v>
      </c>
      <c r="P108">
        <v>90.222287342124602</v>
      </c>
      <c r="Q108">
        <v>94.219200308122097</v>
      </c>
      <c r="R108">
        <v>-9.7777126578754014</v>
      </c>
    </row>
    <row r="109" spans="1:18" x14ac:dyDescent="0.3">
      <c r="A109" s="20">
        <v>45968</v>
      </c>
      <c r="B109">
        <v>281.68466313878821</v>
      </c>
      <c r="C109">
        <v>288.05804303565026</v>
      </c>
      <c r="D109">
        <v>275.02202969370512</v>
      </c>
      <c r="E109">
        <v>278.97174072265625</v>
      </c>
      <c r="F109">
        <v>102973600</v>
      </c>
      <c r="G109">
        <v>246.90733320707497</v>
      </c>
      <c r="H109">
        <v>222.52736736587536</v>
      </c>
      <c r="I109">
        <v>77.472275076691218</v>
      </c>
      <c r="J109">
        <v>47.380899829440601</v>
      </c>
      <c r="K109">
        <v>24.379965841199606</v>
      </c>
      <c r="L109">
        <v>19.082801716004369</v>
      </c>
      <c r="M109">
        <v>290.91926273858786</v>
      </c>
      <c r="N109">
        <v>223.12452697753906</v>
      </c>
      <c r="O109">
        <v>155.32979121649026</v>
      </c>
      <c r="P109">
        <v>87.912687296985354</v>
      </c>
      <c r="Q109">
        <v>91.830139333755241</v>
      </c>
      <c r="R109">
        <v>-12.087312703014646</v>
      </c>
    </row>
    <row r="110" spans="1:18" x14ac:dyDescent="0.3">
      <c r="A110" s="20">
        <v>45975</v>
      </c>
      <c r="B110">
        <v>284.52225722961418</v>
      </c>
      <c r="C110">
        <v>291.59876654246727</v>
      </c>
      <c r="D110">
        <v>270.70331525699896</v>
      </c>
      <c r="E110">
        <v>276.25881958007813</v>
      </c>
      <c r="F110">
        <v>87054400</v>
      </c>
      <c r="G110">
        <v>251.42294656118384</v>
      </c>
      <c r="H110">
        <v>226.50845270546665</v>
      </c>
      <c r="I110">
        <v>75.520448993188381</v>
      </c>
      <c r="J110">
        <v>37.180246236330206</v>
      </c>
      <c r="K110">
        <v>24.914493855717183</v>
      </c>
      <c r="L110">
        <v>20.249140143986793</v>
      </c>
      <c r="M110">
        <v>296.2659919571268</v>
      </c>
      <c r="N110">
        <v>228.05511550903321</v>
      </c>
      <c r="O110">
        <v>159.84423906093963</v>
      </c>
      <c r="P110">
        <v>83.823526220112015</v>
      </c>
      <c r="Q110">
        <v>87.319500286407319</v>
      </c>
      <c r="R110">
        <v>-16.176473779887974</v>
      </c>
    </row>
    <row r="111" spans="1:18" x14ac:dyDescent="0.3">
      <c r="A111" s="20">
        <v>45982</v>
      </c>
      <c r="B111">
        <v>285.65428912783767</v>
      </c>
      <c r="C111">
        <v>306.09098212630653</v>
      </c>
      <c r="D111">
        <v>278.28355822803297</v>
      </c>
      <c r="E111">
        <v>298.86978149414063</v>
      </c>
      <c r="F111">
        <v>185583900</v>
      </c>
      <c r="G111">
        <v>258.72245971800601</v>
      </c>
      <c r="H111">
        <v>231.86977035457437</v>
      </c>
      <c r="I111">
        <v>80.035136580470777</v>
      </c>
      <c r="J111">
        <v>46.36563666791087</v>
      </c>
      <c r="K111">
        <v>26.852689363431637</v>
      </c>
      <c r="L111">
        <v>21.569849987911869</v>
      </c>
      <c r="M111">
        <v>305.2185759815489</v>
      </c>
      <c r="N111">
        <v>234.00265045166014</v>
      </c>
      <c r="O111">
        <v>162.78672492177139</v>
      </c>
      <c r="P111">
        <v>93.39449576930447</v>
      </c>
      <c r="Q111">
        <v>88.376903095467284</v>
      </c>
      <c r="R111">
        <v>-6.6055042306955265</v>
      </c>
    </row>
    <row r="112" spans="1:18" x14ac:dyDescent="0.3">
      <c r="A112" s="20">
        <v>45989</v>
      </c>
      <c r="B112">
        <v>310.20024006085487</v>
      </c>
      <c r="C112">
        <v>327.81423461842343</v>
      </c>
      <c r="D112">
        <v>308.59441615349709</v>
      </c>
      <c r="E112">
        <v>319.2864990234375</v>
      </c>
      <c r="F112">
        <v>155746500</v>
      </c>
      <c r="G112">
        <v>268.04000432397186</v>
      </c>
      <c r="H112">
        <v>238.34644735303226</v>
      </c>
      <c r="I112">
        <v>83.07114757048582</v>
      </c>
      <c r="J112">
        <v>54.995202686051378</v>
      </c>
      <c r="K112">
        <v>29.693556970939596</v>
      </c>
      <c r="L112">
        <v>23.19459138455295</v>
      </c>
      <c r="M112">
        <v>317.10418767502455</v>
      </c>
      <c r="N112">
        <v>240.93315353393555</v>
      </c>
      <c r="O112">
        <v>164.76211939284656</v>
      </c>
      <c r="P112">
        <v>93.043348721451423</v>
      </c>
      <c r="Q112">
        <v>90.087123570289307</v>
      </c>
      <c r="R112">
        <v>-6.9566512785485717</v>
      </c>
    </row>
    <row r="113" spans="1:18" x14ac:dyDescent="0.3">
      <c r="A113" s="20">
        <v>45996</v>
      </c>
      <c r="B113">
        <v>316.64837862385593</v>
      </c>
      <c r="C113">
        <v>322.98683312727684</v>
      </c>
      <c r="D113">
        <v>313.16248362147934</v>
      </c>
      <c r="E113">
        <v>321.25137329101563</v>
      </c>
      <c r="F113">
        <v>122025400</v>
      </c>
      <c r="G113">
        <v>276.22636885287824</v>
      </c>
      <c r="H113">
        <v>244.48875053009419</v>
      </c>
      <c r="I113">
        <v>83.333815296683937</v>
      </c>
      <c r="J113">
        <v>50.975453427686858</v>
      </c>
      <c r="K113">
        <v>31.737618322784044</v>
      </c>
      <c r="L113">
        <v>24.903196772229066</v>
      </c>
      <c r="M113">
        <v>327.19022024120386</v>
      </c>
      <c r="N113">
        <v>247.731209564209</v>
      </c>
      <c r="O113">
        <v>168.27219888721416</v>
      </c>
      <c r="P113">
        <v>94.601907704741265</v>
      </c>
      <c r="Q113">
        <v>93.679917398499057</v>
      </c>
      <c r="R113">
        <v>-5.398092295258742</v>
      </c>
    </row>
    <row r="114" spans="1:18" x14ac:dyDescent="0.3">
      <c r="A114" s="20">
        <v>46003</v>
      </c>
      <c r="B114">
        <v>320.40304316837802</v>
      </c>
      <c r="C114">
        <v>321.36115994245932</v>
      </c>
      <c r="D114">
        <v>306.36049881521853</v>
      </c>
      <c r="E114">
        <v>309.91354370117188</v>
      </c>
      <c r="F114">
        <v>106099600</v>
      </c>
      <c r="G114">
        <v>281.40901117603511</v>
      </c>
      <c r="H114">
        <v>249.33590654266251</v>
      </c>
      <c r="I114">
        <v>76.005501341211684</v>
      </c>
      <c r="J114">
        <v>32.244888657525635</v>
      </c>
      <c r="K114">
        <v>32.073104633372594</v>
      </c>
      <c r="L114">
        <v>26.337178344477842</v>
      </c>
      <c r="M114">
        <v>333.32811161387662</v>
      </c>
      <c r="N114">
        <v>253.55679626464843</v>
      </c>
      <c r="O114">
        <v>173.78548091542024</v>
      </c>
      <c r="P114">
        <v>81.16547245708044</v>
      </c>
      <c r="Q114">
        <v>89.603576294424371</v>
      </c>
      <c r="R114">
        <v>-18.83452754291957</v>
      </c>
    </row>
    <row r="115" spans="1:18" x14ac:dyDescent="0.3">
      <c r="A115" s="20">
        <v>46010</v>
      </c>
      <c r="B115">
        <v>312.0144499599341</v>
      </c>
      <c r="C115">
        <v>312.089315669705</v>
      </c>
      <c r="D115">
        <v>296.86911118460773</v>
      </c>
      <c r="E115">
        <v>308.00729370117188</v>
      </c>
      <c r="F115">
        <v>138709400</v>
      </c>
      <c r="G115">
        <v>285.50105466736557</v>
      </c>
      <c r="H115">
        <v>253.68266179668484</v>
      </c>
      <c r="I115">
        <v>74.814254481934199</v>
      </c>
      <c r="J115">
        <v>27.935759732668973</v>
      </c>
      <c r="K115">
        <v>31.818392870680725</v>
      </c>
      <c r="L115">
        <v>27.433421249730692</v>
      </c>
      <c r="M115">
        <v>336.75639559635079</v>
      </c>
      <c r="N115">
        <v>259.49284973144529</v>
      </c>
      <c r="O115">
        <v>182.22930386653979</v>
      </c>
      <c r="P115">
        <v>78.410995447789276</v>
      </c>
      <c r="Q115">
        <v>84.726125203203665</v>
      </c>
      <c r="R115">
        <v>-21.589004552210717</v>
      </c>
    </row>
    <row r="116" spans="1:18" x14ac:dyDescent="0.3">
      <c r="A116" s="20">
        <v>46017</v>
      </c>
      <c r="B116">
        <v>310.61717890541462</v>
      </c>
      <c r="C116">
        <v>315.94176046514406</v>
      </c>
      <c r="D116">
        <v>305.99122138476918</v>
      </c>
      <c r="E116">
        <v>314.34487915039063</v>
      </c>
      <c r="F116">
        <v>40921900</v>
      </c>
      <c r="G116">
        <v>289.93856615008082</v>
      </c>
      <c r="H116">
        <v>258.17685495287083</v>
      </c>
      <c r="I116">
        <v>76.152477986597518</v>
      </c>
      <c r="J116">
        <v>23.478085641592685</v>
      </c>
      <c r="K116">
        <v>31.761711197209991</v>
      </c>
      <c r="L116">
        <v>28.299079239234306</v>
      </c>
      <c r="M116">
        <v>341.02161160361862</v>
      </c>
      <c r="N116">
        <v>265.14090270996093</v>
      </c>
      <c r="O116">
        <v>189.26019381630323</v>
      </c>
      <c r="P116">
        <v>85.318784070212956</v>
      </c>
      <c r="Q116">
        <v>81.631750658360886</v>
      </c>
      <c r="R116">
        <v>-14.681215929787053</v>
      </c>
    </row>
    <row r="117" spans="1:18" x14ac:dyDescent="0.3">
      <c r="A117" s="20">
        <v>46024</v>
      </c>
      <c r="B117">
        <v>312.20909029163147</v>
      </c>
      <c r="C117">
        <v>322.28335632415155</v>
      </c>
      <c r="D117">
        <v>310.04330013833771</v>
      </c>
      <c r="E117">
        <v>314.70419311523438</v>
      </c>
      <c r="F117">
        <v>56235400</v>
      </c>
      <c r="G117">
        <v>293.74866262354089</v>
      </c>
      <c r="H117">
        <v>262.36466533064907</v>
      </c>
      <c r="I117">
        <v>76.229594145862521</v>
      </c>
      <c r="J117">
        <v>27.650190227028393</v>
      </c>
      <c r="K117">
        <v>31.38399729289182</v>
      </c>
      <c r="L117">
        <v>28.916062849970231</v>
      </c>
      <c r="M117">
        <v>343.90905828793694</v>
      </c>
      <c r="N117">
        <v>270.66641464233396</v>
      </c>
      <c r="O117">
        <v>197.42377099673098</v>
      </c>
      <c r="P117">
        <v>85.710426114034476</v>
      </c>
      <c r="Q117">
        <v>83.146735210678898</v>
      </c>
      <c r="R117">
        <v>-14.289573885965529</v>
      </c>
    </row>
    <row r="118" spans="1:18" x14ac:dyDescent="0.3">
      <c r="A118" s="20">
        <v>46031</v>
      </c>
      <c r="B118">
        <v>317.07455449675223</v>
      </c>
      <c r="C118">
        <v>330.83264935838361</v>
      </c>
      <c r="D118">
        <v>311.72999362266705</v>
      </c>
      <c r="E118">
        <v>328.49722290039063</v>
      </c>
      <c r="F118">
        <v>103313000</v>
      </c>
      <c r="G118">
        <v>299.09459499434399</v>
      </c>
      <c r="H118">
        <v>267.26402340383589</v>
      </c>
      <c r="I118">
        <v>79.032559976457165</v>
      </c>
      <c r="J118">
        <v>33.63958718488842</v>
      </c>
      <c r="K118">
        <v>31.8305715905081</v>
      </c>
      <c r="L118">
        <v>29.498964598081148</v>
      </c>
      <c r="M118">
        <v>347.71514877096251</v>
      </c>
      <c r="N118">
        <v>276.79139251708983</v>
      </c>
      <c r="O118">
        <v>205.86763626321718</v>
      </c>
      <c r="P118">
        <v>97.535531980432339</v>
      </c>
      <c r="Q118">
        <v>89.521580721559914</v>
      </c>
      <c r="R118">
        <v>-2.4644680195676658</v>
      </c>
    </row>
    <row r="119" spans="1:18" x14ac:dyDescent="0.3">
      <c r="A119" s="20">
        <v>46038</v>
      </c>
      <c r="B119">
        <v>325.86232626979785</v>
      </c>
      <c r="C119">
        <v>340.53365296308698</v>
      </c>
      <c r="D119">
        <v>324.87426954465906</v>
      </c>
      <c r="E119">
        <v>329.69485473632813</v>
      </c>
      <c r="F119">
        <v>104643300</v>
      </c>
      <c r="G119">
        <v>303.8023272776307</v>
      </c>
      <c r="H119">
        <v>271.8890976783016</v>
      </c>
      <c r="I119">
        <v>79.261231722121323</v>
      </c>
      <c r="J119">
        <v>39.187135474844141</v>
      </c>
      <c r="K119">
        <v>31.9132295993291</v>
      </c>
      <c r="L119">
        <v>29.981817598332949</v>
      </c>
      <c r="M119">
        <v>350.55601568863852</v>
      </c>
      <c r="N119">
        <v>282.63694305419921</v>
      </c>
      <c r="O119">
        <v>214.71787041975989</v>
      </c>
      <c r="P119">
        <v>89.20551503325585</v>
      </c>
      <c r="Q119">
        <v>90.817157709240902</v>
      </c>
      <c r="R119">
        <v>-10.79448496674414</v>
      </c>
    </row>
    <row r="120" spans="1:18" x14ac:dyDescent="0.3">
      <c r="A120" s="20">
        <v>46045</v>
      </c>
      <c r="B120">
        <v>320.61260611931016</v>
      </c>
      <c r="C120">
        <v>334.55533885366424</v>
      </c>
      <c r="D120">
        <v>318.91597586983539</v>
      </c>
      <c r="E120">
        <v>327.78860473632813</v>
      </c>
      <c r="F120">
        <v>88974300</v>
      </c>
      <c r="G120">
        <v>307.49252381987878</v>
      </c>
      <c r="H120">
        <v>276.03027301281338</v>
      </c>
      <c r="I120">
        <v>77.806693080986804</v>
      </c>
      <c r="J120">
        <v>29.49458604533406</v>
      </c>
      <c r="K120">
        <v>31.462250807065402</v>
      </c>
      <c r="L120">
        <v>30.277904240080531</v>
      </c>
      <c r="M120">
        <v>354.08757310462727</v>
      </c>
      <c r="N120">
        <v>287.30896224975584</v>
      </c>
      <c r="O120">
        <v>220.53035139488441</v>
      </c>
      <c r="P120">
        <v>86.792792890462124</v>
      </c>
      <c r="Q120">
        <v>91.177946634716776</v>
      </c>
      <c r="R120">
        <v>-13.20720710953788</v>
      </c>
    </row>
    <row r="121" spans="1:18" x14ac:dyDescent="0.3">
      <c r="A121" s="20">
        <v>46052</v>
      </c>
      <c r="B121">
        <v>327.55904939425483</v>
      </c>
      <c r="C121">
        <v>341.62154247131241</v>
      </c>
      <c r="D121">
        <v>326.08194217447476</v>
      </c>
      <c r="E121">
        <v>337.86886596679688</v>
      </c>
      <c r="F121">
        <v>98410400</v>
      </c>
      <c r="G121">
        <v>312.16580723796352</v>
      </c>
      <c r="H121">
        <v>280.61139208054186</v>
      </c>
      <c r="I121">
        <v>79.906575682757364</v>
      </c>
      <c r="J121">
        <v>30.033737894438261</v>
      </c>
      <c r="K121">
        <v>31.554415157421658</v>
      </c>
      <c r="L121">
        <v>30.533206423549508</v>
      </c>
      <c r="M121">
        <v>358.81266842908627</v>
      </c>
      <c r="N121">
        <v>292.16482925415039</v>
      </c>
      <c r="O121">
        <v>225.51699007921451</v>
      </c>
      <c r="P121">
        <v>95.149786500355532</v>
      </c>
      <c r="Q121">
        <v>90.382698141357835</v>
      </c>
      <c r="R121">
        <v>-4.8502134996444717</v>
      </c>
    </row>
    <row r="122" spans="1:18" x14ac:dyDescent="0.3">
      <c r="A122" s="20">
        <v>46059</v>
      </c>
      <c r="B122">
        <v>335.89271123242759</v>
      </c>
      <c r="C122">
        <v>349.46616366943567</v>
      </c>
      <c r="D122">
        <v>306.32059191379221</v>
      </c>
      <c r="E122">
        <v>322.46902465820313</v>
      </c>
      <c r="F122">
        <v>171271800</v>
      </c>
      <c r="G122">
        <v>313.75091761342679</v>
      </c>
      <c r="H122">
        <v>283.71225989204441</v>
      </c>
      <c r="I122">
        <v>69.143133217471231</v>
      </c>
      <c r="J122">
        <v>14.722462614675891</v>
      </c>
      <c r="K122">
        <v>30.038657721382378</v>
      </c>
      <c r="L122">
        <v>30.434296683115843</v>
      </c>
      <c r="M122">
        <v>361.05212570321771</v>
      </c>
      <c r="N122">
        <v>295.55950851440429</v>
      </c>
      <c r="O122">
        <v>230.06689132559089</v>
      </c>
      <c r="P122">
        <v>65.723511077375306</v>
      </c>
      <c r="Q122">
        <v>82.555363489397664</v>
      </c>
      <c r="R122">
        <v>-34.276488922624694</v>
      </c>
    </row>
    <row r="123" spans="1:18" x14ac:dyDescent="0.3">
      <c r="A123" s="20">
        <v>46066</v>
      </c>
      <c r="B123">
        <v>320.61261671913041</v>
      </c>
      <c r="C123">
        <v>327.0999223847603</v>
      </c>
      <c r="D123">
        <v>303.30650829764892</v>
      </c>
      <c r="E123">
        <v>305.42236328125</v>
      </c>
      <c r="F123">
        <v>123823300</v>
      </c>
      <c r="G123">
        <v>312.46960156018952</v>
      </c>
      <c r="H123">
        <v>285.32056094088989</v>
      </c>
      <c r="I123">
        <v>59.576645993588592</v>
      </c>
      <c r="J123">
        <v>9.4814702342521642</v>
      </c>
      <c r="K123">
        <v>27.149040619299626</v>
      </c>
      <c r="L123">
        <v>29.777245470351364</v>
      </c>
      <c r="M123">
        <v>359.88223125302596</v>
      </c>
      <c r="N123">
        <v>298.50380630493163</v>
      </c>
      <c r="O123">
        <v>237.12538135683729</v>
      </c>
      <c r="P123">
        <v>44.080488103283059</v>
      </c>
      <c r="Q123">
        <v>68.317928560337961</v>
      </c>
      <c r="R123">
        <v>-55.919511896716934</v>
      </c>
    </row>
    <row r="124" spans="1:18" x14ac:dyDescent="0.3">
      <c r="A124" s="20">
        <v>46073</v>
      </c>
      <c r="B124">
        <v>300.05287197489616</v>
      </c>
      <c r="C124">
        <v>316.14138697609769</v>
      </c>
      <c r="D124">
        <v>296.32015539296833</v>
      </c>
      <c r="E124">
        <v>314.28500366210938</v>
      </c>
      <c r="F124">
        <v>86710200</v>
      </c>
      <c r="G124">
        <v>312.74889419164754</v>
      </c>
      <c r="H124">
        <v>287.46625463600009</v>
      </c>
      <c r="I124">
        <v>62.482947255501536</v>
      </c>
      <c r="J124">
        <v>13.764695056553201</v>
      </c>
      <c r="K124">
        <v>25.282639555647449</v>
      </c>
      <c r="L124">
        <v>28.878324287409228</v>
      </c>
      <c r="M124">
        <v>358.3704508707612</v>
      </c>
      <c r="N124">
        <v>301.92764053344729</v>
      </c>
      <c r="O124">
        <v>245.48483019613337</v>
      </c>
      <c r="P124">
        <v>50.576183901715545</v>
      </c>
      <c r="Q124">
        <v>53.460061027457961</v>
      </c>
      <c r="R124">
        <v>-49.423816098284462</v>
      </c>
    </row>
    <row r="125" spans="1:18" x14ac:dyDescent="0.3">
      <c r="A125" s="20">
        <v>46080</v>
      </c>
      <c r="B125">
        <v>318.51673055874016</v>
      </c>
      <c r="C125">
        <v>318.83108733880749</v>
      </c>
      <c r="D125">
        <v>301.81943723319677</v>
      </c>
      <c r="E125">
        <v>310.82177734375</v>
      </c>
      <c r="F125">
        <v>108660200</v>
      </c>
      <c r="G125">
        <v>312.45241467623299</v>
      </c>
      <c r="H125">
        <v>289.19642731274399</v>
      </c>
      <c r="I125">
        <v>60.647985182150315</v>
      </c>
      <c r="J125">
        <v>3.9990646728678136</v>
      </c>
      <c r="K125">
        <v>23.255987363488998</v>
      </c>
      <c r="L125">
        <v>27.753856902623831</v>
      </c>
      <c r="M125">
        <v>353.10012288127245</v>
      </c>
      <c r="N125">
        <v>305.62514724731443</v>
      </c>
      <c r="O125">
        <v>258.15017161335641</v>
      </c>
      <c r="P125">
        <v>27.286380334236465</v>
      </c>
      <c r="Q125">
        <v>40.647684113078348</v>
      </c>
      <c r="R125">
        <v>-72.713619665763545</v>
      </c>
    </row>
    <row r="126" spans="1:18" x14ac:dyDescent="0.3">
      <c r="A126" s="20">
        <v>46087</v>
      </c>
      <c r="B126">
        <v>302.37329918769217</v>
      </c>
      <c r="C126">
        <v>307.53821057623952</v>
      </c>
      <c r="D126">
        <v>294.67337606681087</v>
      </c>
      <c r="E126">
        <v>297.7174072265625</v>
      </c>
      <c r="F126">
        <v>102473000</v>
      </c>
      <c r="G126">
        <v>310.18549045092033</v>
      </c>
      <c r="H126">
        <v>289.82765626242332</v>
      </c>
      <c r="I126">
        <v>54.165942971861362</v>
      </c>
      <c r="J126">
        <v>-6.7554036462066929</v>
      </c>
      <c r="K126">
        <v>20.357834188497009</v>
      </c>
      <c r="L126">
        <v>26.274652359797049</v>
      </c>
      <c r="M126">
        <v>348.6704480843913</v>
      </c>
      <c r="N126">
        <v>307.85455780029298</v>
      </c>
      <c r="O126">
        <v>267.03866751619466</v>
      </c>
      <c r="P126">
        <v>5.5555325672202232</v>
      </c>
      <c r="Q126">
        <v>27.806032267724074</v>
      </c>
      <c r="R126">
        <v>-94.444467432779774</v>
      </c>
    </row>
    <row r="127" spans="1:18" x14ac:dyDescent="0.3">
      <c r="A127" s="20">
        <v>46094</v>
      </c>
      <c r="B127">
        <v>293.767375323397</v>
      </c>
      <c r="C127">
        <v>310.68019119538684</v>
      </c>
      <c r="D127">
        <v>293.562614480994</v>
      </c>
      <c r="E127">
        <v>301.08322143554688</v>
      </c>
      <c r="F127">
        <v>79863500</v>
      </c>
      <c r="G127">
        <v>308.78514137043703</v>
      </c>
      <c r="H127">
        <v>290.66145717765579</v>
      </c>
      <c r="I127">
        <v>55.482044402985871</v>
      </c>
      <c r="J127">
        <v>-6.2779970864743291</v>
      </c>
      <c r="K127">
        <v>18.123684192781241</v>
      </c>
      <c r="L127">
        <v>24.644458726392635</v>
      </c>
      <c r="M127">
        <v>344.15399189466547</v>
      </c>
      <c r="N127">
        <v>309.91713409423829</v>
      </c>
      <c r="O127">
        <v>275.68027629381112</v>
      </c>
      <c r="P127">
        <v>13.452825560685147</v>
      </c>
      <c r="Q127">
        <v>15.431579487380608</v>
      </c>
      <c r="R127">
        <v>-86.547174439314858</v>
      </c>
    </row>
    <row r="128" spans="1:18" x14ac:dyDescent="0.3">
      <c r="A128" s="20">
        <v>46101</v>
      </c>
      <c r="B128">
        <v>303.22053786280765</v>
      </c>
      <c r="C128">
        <v>310.36159493159101</v>
      </c>
      <c r="D128">
        <v>296.37910610738646</v>
      </c>
      <c r="E128">
        <v>298.41656494140625</v>
      </c>
      <c r="F128">
        <v>93257200</v>
      </c>
      <c r="G128">
        <v>307.18997576481883</v>
      </c>
      <c r="H128">
        <v>291.23594491377531</v>
      </c>
      <c r="I128">
        <v>54.155251150227897</v>
      </c>
      <c r="J128">
        <v>-3.7097374391779958</v>
      </c>
      <c r="K128">
        <v>15.954030851043512</v>
      </c>
      <c r="L128">
        <v>22.906373151321741</v>
      </c>
      <c r="M128">
        <v>342.75006676378035</v>
      </c>
      <c r="N128">
        <v>310.78365173339841</v>
      </c>
      <c r="O128">
        <v>278.81723670301648</v>
      </c>
      <c r="P128">
        <v>8.6827232454425758</v>
      </c>
      <c r="Q128">
        <v>9.2303604577826448</v>
      </c>
      <c r="R128">
        <v>-91.317276754557426</v>
      </c>
    </row>
    <row r="129" spans="1:18" x14ac:dyDescent="0.3">
      <c r="A129" s="20">
        <v>46108</v>
      </c>
      <c r="B129">
        <v>300.15439329182226</v>
      </c>
      <c r="C129">
        <v>302.99084017304216</v>
      </c>
      <c r="D129">
        <v>273.13816737473189</v>
      </c>
      <c r="E129">
        <v>273.41781616210938</v>
      </c>
      <c r="F129">
        <v>126942800</v>
      </c>
      <c r="G129">
        <v>301.99425889968876</v>
      </c>
      <c r="H129">
        <v>289.91600840813339</v>
      </c>
      <c r="I129">
        <v>43.623371134968025</v>
      </c>
      <c r="J129">
        <v>-11.230083912435251</v>
      </c>
      <c r="K129">
        <v>12.078250491555366</v>
      </c>
      <c r="L129">
        <v>20.740748619367402</v>
      </c>
      <c r="M129">
        <v>343.70855910931664</v>
      </c>
      <c r="N129">
        <v>310.50595550537111</v>
      </c>
      <c r="O129">
        <v>277.30335190142557</v>
      </c>
      <c r="P129">
        <v>0.36637773943095947</v>
      </c>
      <c r="Q129">
        <v>7.5006421818528901</v>
      </c>
      <c r="R129">
        <v>-99.633622260569041</v>
      </c>
    </row>
    <row r="130" spans="1:18" x14ac:dyDescent="0.3">
      <c r="A130" s="20">
        <v>46115</v>
      </c>
      <c r="B130">
        <v>275.09575829416775</v>
      </c>
      <c r="C130">
        <v>297.61253815602078</v>
      </c>
      <c r="D130">
        <v>271.19563997145974</v>
      </c>
      <c r="E130">
        <v>294.09194946289063</v>
      </c>
      <c r="F130">
        <v>92214400</v>
      </c>
      <c r="G130">
        <v>300.77851898570663</v>
      </c>
      <c r="H130">
        <v>290.22535367572181</v>
      </c>
      <c r="I130">
        <v>51.946458479872526</v>
      </c>
      <c r="J130">
        <v>-6.44290110347574</v>
      </c>
      <c r="K130">
        <v>10.55316530998482</v>
      </c>
      <c r="L130">
        <v>18.703231957490082</v>
      </c>
      <c r="M130">
        <v>341.54501638491087</v>
      </c>
      <c r="N130">
        <v>311.3976119995117</v>
      </c>
      <c r="O130">
        <v>281.25020761411253</v>
      </c>
      <c r="P130">
        <v>29.252786885368675</v>
      </c>
      <c r="Q130">
        <v>12.767295956747398</v>
      </c>
      <c r="R130">
        <v>-70.747213114631322</v>
      </c>
    </row>
    <row r="131" spans="1:18" x14ac:dyDescent="0.3">
      <c r="A131" s="20">
        <v>46122</v>
      </c>
      <c r="B131">
        <v>294.33167205129627</v>
      </c>
      <c r="C131">
        <v>319.10065252443258</v>
      </c>
      <c r="D131">
        <v>293.42280578612184</v>
      </c>
      <c r="E131">
        <v>315.32537841796875</v>
      </c>
      <c r="F131">
        <v>74931300</v>
      </c>
      <c r="G131">
        <v>303.0164973608799</v>
      </c>
      <c r="H131">
        <v>292.08470548650178</v>
      </c>
      <c r="I131">
        <v>58.691735671158455</v>
      </c>
      <c r="J131">
        <v>0.1973870435551861</v>
      </c>
      <c r="K131">
        <v>10.931791874378121</v>
      </c>
      <c r="L131">
        <v>17.148943940867198</v>
      </c>
      <c r="M131">
        <v>341.82144067651814</v>
      </c>
      <c r="N131">
        <v>312.22039184570315</v>
      </c>
      <c r="O131">
        <v>282.61934301488816</v>
      </c>
      <c r="P131">
        <v>56.381044052794806</v>
      </c>
      <c r="Q131">
        <v>28.66673622586481</v>
      </c>
      <c r="R131">
        <v>-43.618955947205194</v>
      </c>
    </row>
    <row r="132" spans="1:18" x14ac:dyDescent="0.3">
      <c r="A132" s="20">
        <v>46129</v>
      </c>
      <c r="B132">
        <v>315.02579393429113</v>
      </c>
      <c r="C132">
        <v>339.56005987223585</v>
      </c>
      <c r="D132">
        <v>313.2979451571623</v>
      </c>
      <c r="E132">
        <v>338.97579956054688</v>
      </c>
      <c r="F132">
        <v>79507800</v>
      </c>
      <c r="G132">
        <v>308.54869770133809</v>
      </c>
      <c r="H132">
        <v>295.5582767858636</v>
      </c>
      <c r="I132">
        <v>64.644689159471881</v>
      </c>
      <c r="J132">
        <v>3.1898524339530443</v>
      </c>
      <c r="K132">
        <v>12.990420915474488</v>
      </c>
      <c r="L132">
        <v>16.31723933578845</v>
      </c>
      <c r="M132">
        <v>345.02207657314693</v>
      </c>
      <c r="N132">
        <v>313.20485687255859</v>
      </c>
      <c r="O132">
        <v>281.38763717197025</v>
      </c>
      <c r="P132">
        <v>86.597299196095605</v>
      </c>
      <c r="Q132">
        <v>57.410376711419694</v>
      </c>
      <c r="R132">
        <v>-13.402700803904391</v>
      </c>
    </row>
    <row r="133" spans="1:18" x14ac:dyDescent="0.3">
      <c r="A133" s="20">
        <v>46136</v>
      </c>
      <c r="B133">
        <v>338.13685867126748</v>
      </c>
      <c r="C133">
        <v>343.26043367654364</v>
      </c>
      <c r="D133">
        <v>329.21802981677507</v>
      </c>
      <c r="E133">
        <v>341.89215087890625</v>
      </c>
      <c r="F133">
        <v>72178300</v>
      </c>
      <c r="G133">
        <v>313.67845973026306</v>
      </c>
      <c r="H133">
        <v>298.99055917999812</v>
      </c>
      <c r="I133">
        <v>65.308589880023248</v>
      </c>
      <c r="J133">
        <v>3.6995712754852805</v>
      </c>
      <c r="K133">
        <v>14.687900550264942</v>
      </c>
      <c r="L133">
        <v>15.991371578683685</v>
      </c>
      <c r="M133">
        <v>348.40522767670825</v>
      </c>
      <c r="N133">
        <v>314.23689575195311</v>
      </c>
      <c r="O133">
        <v>280.06856382719798</v>
      </c>
      <c r="P133">
        <v>90.323288470950544</v>
      </c>
      <c r="Q133">
        <v>77.767210573280309</v>
      </c>
      <c r="R133">
        <v>-9.6767115290494541</v>
      </c>
    </row>
    <row r="134" spans="1:18" x14ac:dyDescent="0.3">
      <c r="A134" s="20">
        <v>46143</v>
      </c>
      <c r="B134">
        <v>343.45019639264399</v>
      </c>
      <c r="C134">
        <v>382.9108287658787</v>
      </c>
      <c r="D134">
        <v>340.38402620694472</v>
      </c>
      <c r="E134">
        <v>382.74102783203125</v>
      </c>
      <c r="F134">
        <v>130795900</v>
      </c>
      <c r="G134">
        <v>324.30347021027421</v>
      </c>
      <c r="H134">
        <v>305.19453788804589</v>
      </c>
      <c r="I134">
        <v>72.966025364625025</v>
      </c>
      <c r="J134">
        <v>16.764592271261726</v>
      </c>
      <c r="K134">
        <v>19.108932322228327</v>
      </c>
      <c r="L134">
        <v>16.614883727392712</v>
      </c>
      <c r="M134">
        <v>363.65677197537457</v>
      </c>
      <c r="N134">
        <v>317.87826995849611</v>
      </c>
      <c r="O134">
        <v>272.09976794161764</v>
      </c>
      <c r="P134">
        <v>99.848005507863462</v>
      </c>
      <c r="Q134">
        <v>92.256197724969866</v>
      </c>
      <c r="R134">
        <v>-0.15199449213654084</v>
      </c>
    </row>
    <row r="135" spans="1:18" x14ac:dyDescent="0.3">
      <c r="A135" s="20">
        <v>46150</v>
      </c>
      <c r="B135">
        <v>381.84217047140078</v>
      </c>
      <c r="C135">
        <v>397.87209899004927</v>
      </c>
      <c r="D135">
        <v>376.29908876692156</v>
      </c>
      <c r="E135">
        <v>396.55374145507813</v>
      </c>
      <c r="F135">
        <v>85720900</v>
      </c>
      <c r="G135">
        <v>335.4188965581215</v>
      </c>
      <c r="H135">
        <v>311.96212900313213</v>
      </c>
      <c r="I135">
        <v>74.977333246070941</v>
      </c>
      <c r="J135">
        <v>17.369127907171045</v>
      </c>
      <c r="K135">
        <v>23.456767554989369</v>
      </c>
      <c r="L135">
        <v>17.983260492912223</v>
      </c>
      <c r="M135">
        <v>379.7142078655117</v>
      </c>
      <c r="N135">
        <v>322.30559234619142</v>
      </c>
      <c r="O135">
        <v>264.89697682687114</v>
      </c>
      <c r="P135">
        <v>98.959271876412586</v>
      </c>
      <c r="Q135">
        <v>96.376855285075521</v>
      </c>
      <c r="R135">
        <v>-1.0407281235874106</v>
      </c>
    </row>
    <row r="136" spans="1:18" x14ac:dyDescent="0.3">
      <c r="A136" s="20">
        <v>46157</v>
      </c>
      <c r="B136">
        <v>390.20167380939068</v>
      </c>
      <c r="C136">
        <v>399.4301315305828</v>
      </c>
      <c r="D136">
        <v>379.24538948701269</v>
      </c>
      <c r="E136">
        <v>392.82839965820313</v>
      </c>
      <c r="F136">
        <v>81186200</v>
      </c>
      <c r="G136">
        <v>344.25112780596396</v>
      </c>
      <c r="H136">
        <v>317.95242203949266</v>
      </c>
      <c r="I136">
        <v>73.391397415441901</v>
      </c>
      <c r="J136">
        <v>21.818956122863732</v>
      </c>
      <c r="K136">
        <v>26.298705766471301</v>
      </c>
      <c r="L136">
        <v>19.646349547624208</v>
      </c>
      <c r="M136">
        <v>391.53378395260484</v>
      </c>
      <c r="N136">
        <v>326.22976837158205</v>
      </c>
      <c r="O136">
        <v>260.92575279055927</v>
      </c>
      <c r="P136">
        <v>94.851828246742869</v>
      </c>
      <c r="Q136">
        <v>97.886368543672972</v>
      </c>
      <c r="R136">
        <v>-5.1481717532571309</v>
      </c>
    </row>
    <row r="137" spans="1:18" x14ac:dyDescent="0.3">
      <c r="A137" s="20">
        <v>46164</v>
      </c>
      <c r="B137">
        <v>391.63489808738598</v>
      </c>
      <c r="C137">
        <v>403.96446976722967</v>
      </c>
      <c r="D137">
        <v>377.78722750403438</v>
      </c>
      <c r="E137">
        <v>378.90582275390625</v>
      </c>
      <c r="F137">
        <v>90860700</v>
      </c>
      <c r="G137">
        <v>349.58261933727266</v>
      </c>
      <c r="H137">
        <v>322.46762758499074</v>
      </c>
      <c r="I137">
        <v>67.633600860690919</v>
      </c>
      <c r="J137">
        <v>24.059619827179635</v>
      </c>
      <c r="K137">
        <v>27.114991752281924</v>
      </c>
      <c r="L137">
        <v>21.140077988555873</v>
      </c>
      <c r="M137">
        <v>398.55874665295897</v>
      </c>
      <c r="N137">
        <v>329.43984985351563</v>
      </c>
      <c r="O137">
        <v>260.32095305407228</v>
      </c>
      <c r="P137">
        <v>81.12610689431429</v>
      </c>
      <c r="Q137">
        <v>91.64573567248992</v>
      </c>
      <c r="R137">
        <v>-18.873893105685717</v>
      </c>
    </row>
    <row r="138" spans="1:18" x14ac:dyDescent="0.3">
      <c r="A138" s="20">
        <v>46171</v>
      </c>
      <c r="B138">
        <v>380.51878298329893</v>
      </c>
      <c r="C138">
        <v>389.51254546575427</v>
      </c>
      <c r="D138">
        <v>373.83216052557708</v>
      </c>
      <c r="E138">
        <v>375.95950317382813</v>
      </c>
      <c r="F138">
        <v>101858000</v>
      </c>
      <c r="G138">
        <v>353.6406014665248</v>
      </c>
      <c r="H138">
        <v>326.43010154662215</v>
      </c>
      <c r="I138">
        <v>66.445585110348091</v>
      </c>
      <c r="J138">
        <v>19.623748760862149</v>
      </c>
      <c r="K138">
        <v>27.210499919902645</v>
      </c>
      <c r="L138">
        <v>22.354162374825307</v>
      </c>
      <c r="M138">
        <v>403.987183199664</v>
      </c>
      <c r="N138">
        <v>331.81296386718748</v>
      </c>
      <c r="O138">
        <v>259.63874453471095</v>
      </c>
      <c r="P138">
        <v>78.906971887543293</v>
      </c>
      <c r="Q138">
        <v>84.961635676200146</v>
      </c>
      <c r="R138">
        <v>-21.093028112456707</v>
      </c>
    </row>
    <row r="139" spans="1:18" x14ac:dyDescent="0.3">
      <c r="A139" s="20">
        <v>46178</v>
      </c>
      <c r="B139">
        <v>372.10935069961397</v>
      </c>
      <c r="C139">
        <v>374.13181366493154</v>
      </c>
      <c r="D139">
        <v>353.93708012268729</v>
      </c>
      <c r="E139">
        <v>365.3028564453125</v>
      </c>
      <c r="F139">
        <v>157929200</v>
      </c>
      <c r="G139">
        <v>355.43479454039073</v>
      </c>
      <c r="H139">
        <v>329.30964077712133</v>
      </c>
      <c r="I139">
        <v>62.190491876164721</v>
      </c>
      <c r="J139">
        <v>17.528076561157334</v>
      </c>
      <c r="K139">
        <v>26.125153763269395</v>
      </c>
      <c r="L139">
        <v>23.108360652514165</v>
      </c>
      <c r="M139">
        <v>407.28832589786748</v>
      </c>
      <c r="N139">
        <v>333.59336395263671</v>
      </c>
      <c r="O139">
        <v>259.89840200740593</v>
      </c>
      <c r="P139">
        <v>70.880504572204231</v>
      </c>
      <c r="Q139">
        <v>76.971194451353938</v>
      </c>
      <c r="R139">
        <v>-29.119495427795773</v>
      </c>
    </row>
    <row r="140" spans="1:18" x14ac:dyDescent="0.3">
      <c r="A140" s="20">
        <v>46185</v>
      </c>
      <c r="B140">
        <v>362.24981828077506</v>
      </c>
      <c r="C140">
        <v>369.4521374448322</v>
      </c>
      <c r="D140">
        <v>343.40707015265019</v>
      </c>
      <c r="E140">
        <v>357.92764282226563</v>
      </c>
      <c r="F140">
        <v>104900100</v>
      </c>
      <c r="G140">
        <v>355.81830966071647</v>
      </c>
      <c r="H140">
        <v>331.42954452183068</v>
      </c>
      <c r="I140">
        <v>59.357425654445969</v>
      </c>
      <c r="J140">
        <v>20.223955379902669</v>
      </c>
      <c r="K140">
        <v>24.388765138885788</v>
      </c>
      <c r="L140">
        <v>23.364441549788499</v>
      </c>
      <c r="M140">
        <v>409.52448290561273</v>
      </c>
      <c r="N140">
        <v>335.10031585693361</v>
      </c>
      <c r="O140">
        <v>260.67614880825448</v>
      </c>
      <c r="P140">
        <v>65.32557602881667</v>
      </c>
      <c r="Q140">
        <v>71.704350829521388</v>
      </c>
      <c r="R140">
        <v>-34.67442397118333</v>
      </c>
    </row>
    <row r="141" spans="1:18" x14ac:dyDescent="0.3">
      <c r="A141" s="20">
        <v>46192</v>
      </c>
      <c r="B141">
        <v>365.75252721660206</v>
      </c>
      <c r="C141">
        <v>373.35763104091177</v>
      </c>
      <c r="D141">
        <v>356.37663902016271</v>
      </c>
      <c r="E141">
        <v>367.22158813476563</v>
      </c>
      <c r="F141">
        <v>79104000</v>
      </c>
      <c r="G141">
        <v>357.57266019532995</v>
      </c>
      <c r="H141">
        <v>334.08086693012211</v>
      </c>
      <c r="I141">
        <v>61.723739925984965</v>
      </c>
      <c r="J141">
        <v>21.966805849849401</v>
      </c>
      <c r="K141">
        <v>23.491793265207832</v>
      </c>
      <c r="L141">
        <v>23.389911892872366</v>
      </c>
      <c r="M141">
        <v>412.36696069698172</v>
      </c>
      <c r="N141">
        <v>336.56795196533204</v>
      </c>
      <c r="O141">
        <v>260.76894323368236</v>
      </c>
      <c r="P141">
        <v>72.325671854618776</v>
      </c>
      <c r="Q141">
        <v>69.510584151879883</v>
      </c>
      <c r="R141">
        <v>-27.674328145381221</v>
      </c>
    </row>
    <row r="142" spans="1:18" x14ac:dyDescent="0.3">
      <c r="A142" s="20">
        <v>46199</v>
      </c>
      <c r="B142">
        <v>356.90330120758608</v>
      </c>
      <c r="C142">
        <v>357.96761267730585</v>
      </c>
      <c r="D142">
        <v>333.47351863030514</v>
      </c>
      <c r="E142">
        <v>334.47286987304688</v>
      </c>
      <c r="F142">
        <v>188102700</v>
      </c>
      <c r="G142">
        <v>354.01884629934654</v>
      </c>
      <c r="H142">
        <v>334.10990479278308</v>
      </c>
      <c r="I142">
        <v>50.554367479563666</v>
      </c>
      <c r="J142">
        <v>12.082541375918666</v>
      </c>
      <c r="K142">
        <v>19.908941506563451</v>
      </c>
      <c r="L142">
        <v>22.693717815610565</v>
      </c>
      <c r="M142">
        <v>412.68667620764245</v>
      </c>
      <c r="N142">
        <v>337.16814422607422</v>
      </c>
      <c r="O142">
        <v>261.64961224450599</v>
      </c>
      <c r="P142">
        <v>47.659702958083294</v>
      </c>
      <c r="Q142">
        <v>61.770316947172908</v>
      </c>
      <c r="R142">
        <v>-52.340297041916706</v>
      </c>
    </row>
    <row r="143" spans="1:18" x14ac:dyDescent="0.3">
      <c r="A143" s="20">
        <v>46206</v>
      </c>
      <c r="B143">
        <v>339.72945766149388</v>
      </c>
      <c r="C143">
        <v>360.75579054789137</v>
      </c>
      <c r="D143">
        <v>338.59018263771787</v>
      </c>
      <c r="E143">
        <v>355.94891357421875</v>
      </c>
      <c r="F143">
        <v>81923800</v>
      </c>
      <c r="G143">
        <v>354.31577972626746</v>
      </c>
      <c r="H143">
        <v>335.72764049122532</v>
      </c>
      <c r="I143">
        <v>56.157335409110864</v>
      </c>
      <c r="J143">
        <v>30.184974253168882</v>
      </c>
      <c r="K143">
        <v>18.588139235042149</v>
      </c>
      <c r="L143">
        <v>21.872602099496866</v>
      </c>
      <c r="M143">
        <v>414.11398993656178</v>
      </c>
      <c r="N143">
        <v>339.69447174072263</v>
      </c>
      <c r="O143">
        <v>265.27495354488349</v>
      </c>
      <c r="P143">
        <v>63.835219255249683</v>
      </c>
      <c r="Q143">
        <v>61.273531355983913</v>
      </c>
      <c r="R143">
        <v>-36.164780744750317</v>
      </c>
    </row>
    <row r="144" spans="1:18" x14ac:dyDescent="0.3">
      <c r="A144" s="20">
        <v>46213</v>
      </c>
      <c r="B144">
        <v>357.96260230009858</v>
      </c>
      <c r="C144">
        <v>370.64939729623461</v>
      </c>
      <c r="D144">
        <v>348.43378166816143</v>
      </c>
      <c r="E144">
        <v>354.79965209960938</v>
      </c>
      <c r="F144">
        <v>82642900</v>
      </c>
      <c r="G144">
        <v>354.39022162986225</v>
      </c>
      <c r="H144">
        <v>337.14040743713531</v>
      </c>
      <c r="I144">
        <v>55.792985176224398</v>
      </c>
      <c r="J144">
        <v>20.642422462631551</v>
      </c>
      <c r="K144">
        <v>17.249814192726944</v>
      </c>
      <c r="L144">
        <v>20.948044518142868</v>
      </c>
      <c r="M144">
        <v>415.42974912633343</v>
      </c>
      <c r="N144">
        <v>341.72020416259767</v>
      </c>
      <c r="O144">
        <v>268.0106591988619</v>
      </c>
      <c r="P144">
        <v>55.52372209991082</v>
      </c>
      <c r="Q144">
        <v>55.672881437747925</v>
      </c>
      <c r="R144">
        <v>-44.476277900089173</v>
      </c>
    </row>
    <row r="145" spans="1:18" x14ac:dyDescent="0.3">
      <c r="A145" s="20">
        <v>46220</v>
      </c>
      <c r="B145">
        <v>353.76032774681892</v>
      </c>
      <c r="C145">
        <v>374.10712644806381</v>
      </c>
      <c r="D145">
        <v>340.90369220643186</v>
      </c>
      <c r="E145">
        <v>345.89544677734375</v>
      </c>
      <c r="F145">
        <v>87721900</v>
      </c>
      <c r="G145">
        <v>353.08333319095811</v>
      </c>
      <c r="H145">
        <v>337.78893964269008</v>
      </c>
      <c r="I145">
        <v>52.927770546735353</v>
      </c>
      <c r="J145">
        <v>9.6947694196861889</v>
      </c>
      <c r="K145">
        <v>15.294393548268033</v>
      </c>
      <c r="L145">
        <v>19.817314324167885</v>
      </c>
      <c r="M145">
        <v>415.74300835420587</v>
      </c>
      <c r="N145">
        <v>343.47388763427733</v>
      </c>
      <c r="O145">
        <v>271.2047669143488</v>
      </c>
      <c r="P145">
        <v>35.953183118438297</v>
      </c>
      <c r="Q145">
        <v>51.77070815786626</v>
      </c>
      <c r="R145">
        <v>-64.046816881561696</v>
      </c>
    </row>
    <row r="146" spans="1:18" x14ac:dyDescent="0.3">
      <c r="A146" s="20">
        <v>46227</v>
      </c>
      <c r="B146">
        <v>349.94282565857179</v>
      </c>
      <c r="C146">
        <v>359.25675573174533</v>
      </c>
      <c r="D146">
        <v>314.68571007093101</v>
      </c>
      <c r="E146">
        <v>318.88296508789063</v>
      </c>
      <c r="F146">
        <v>122279300</v>
      </c>
      <c r="G146">
        <v>347.82173809799065</v>
      </c>
      <c r="H146">
        <v>336.38847554280295</v>
      </c>
      <c r="I146">
        <v>45.323538321577757</v>
      </c>
      <c r="J146">
        <v>-5.9275129666202968</v>
      </c>
      <c r="K146">
        <v>11.433262555187696</v>
      </c>
      <c r="L146">
        <v>18.140503970371828</v>
      </c>
      <c r="M146">
        <v>414.56536295790352</v>
      </c>
      <c r="N146">
        <v>344.53216552734375</v>
      </c>
      <c r="O146">
        <v>274.49896809678398</v>
      </c>
      <c r="P146">
        <v>4.7012918092024378</v>
      </c>
      <c r="Q146">
        <v>32.059399009183842</v>
      </c>
      <c r="R146">
        <v>-95.298708190797569</v>
      </c>
    </row>
    <row r="147" spans="1:18" x14ac:dyDescent="0.3">
      <c r="A147" s="20">
        <v>46234</v>
      </c>
      <c r="B147">
        <v>324.52929403213483</v>
      </c>
      <c r="C147">
        <v>358.64717383835989</v>
      </c>
      <c r="D147">
        <v>324.19952156013301</v>
      </c>
      <c r="E147">
        <v>356.41860961914063</v>
      </c>
      <c r="F147">
        <v>110473400</v>
      </c>
      <c r="G147">
        <v>349.14433371666911</v>
      </c>
      <c r="H147">
        <v>337.87221030868227</v>
      </c>
      <c r="I147">
        <v>54.998749043927759</v>
      </c>
      <c r="J147">
        <v>4.2488424208894537</v>
      </c>
      <c r="K147">
        <v>11.27212340798684</v>
      </c>
      <c r="L147">
        <v>16.766827857894821</v>
      </c>
      <c r="M147">
        <v>414.41620556250467</v>
      </c>
      <c r="N147">
        <v>347.29893493652344</v>
      </c>
      <c r="O147">
        <v>280.1816643105422</v>
      </c>
      <c r="P147">
        <v>46.744488487713376</v>
      </c>
      <c r="Q147">
        <v>29.132987805118034</v>
      </c>
      <c r="R147">
        <v>-53.255511512286624</v>
      </c>
    </row>
    <row r="148" spans="1:18" x14ac:dyDescent="0.3">
      <c r="A148" s="20">
        <v>46241</v>
      </c>
      <c r="B148">
        <v>365.0629711921722</v>
      </c>
      <c r="C148">
        <v>381.56228958932161</v>
      </c>
      <c r="D148">
        <v>352.59108945584387</v>
      </c>
      <c r="E148">
        <v>353.24066162109375</v>
      </c>
      <c r="F148">
        <v>107615100</v>
      </c>
      <c r="G148">
        <v>349.77453800967368</v>
      </c>
      <c r="H148">
        <v>339.01062912143601</v>
      </c>
      <c r="I148">
        <v>54.12547739139368</v>
      </c>
      <c r="J148">
        <v>-7.7076571534640763</v>
      </c>
      <c r="K148">
        <v>10.763908888237665</v>
      </c>
      <c r="L148">
        <v>15.566244063963381</v>
      </c>
      <c r="M148">
        <v>413.10734205364156</v>
      </c>
      <c r="N148">
        <v>350.04013977050784</v>
      </c>
      <c r="O148">
        <v>286.97293748737411</v>
      </c>
      <c r="P148">
        <v>43.184909469302539</v>
      </c>
      <c r="Q148">
        <v>31.543563255406113</v>
      </c>
      <c r="R148">
        <v>-56.815090530697468</v>
      </c>
    </row>
    <row r="149" spans="1:18" x14ac:dyDescent="0.3">
      <c r="A149" s="20">
        <v>46248</v>
      </c>
      <c r="B149">
        <v>354.01016282403191</v>
      </c>
      <c r="C149">
        <v>355.6990688085296</v>
      </c>
      <c r="D149">
        <v>339.59952436320935</v>
      </c>
      <c r="E149">
        <v>343.31710815429688</v>
      </c>
      <c r="F149">
        <v>72733100</v>
      </c>
      <c r="G149">
        <v>348.78108726267112</v>
      </c>
      <c r="H149">
        <v>339.32963146326398</v>
      </c>
      <c r="I149">
        <v>51.381932346545028</v>
      </c>
      <c r="J149">
        <v>-13.424821842668688</v>
      </c>
      <c r="K149">
        <v>9.4514557994071424</v>
      </c>
      <c r="L149">
        <v>14.343286411052128</v>
      </c>
      <c r="M149">
        <v>405.49240494840097</v>
      </c>
      <c r="N149">
        <v>353.53510437011721</v>
      </c>
      <c r="O149">
        <v>301.57780379183345</v>
      </c>
      <c r="P149">
        <v>32.069663804427684</v>
      </c>
      <c r="Q149">
        <v>40.666353920481193</v>
      </c>
      <c r="R149">
        <v>-67.930336195572323</v>
      </c>
    </row>
    <row r="150" spans="1:18" x14ac:dyDescent="0.3">
      <c r="A150" s="20">
        <v>46255</v>
      </c>
      <c r="B150">
        <v>343.83677714381588</v>
      </c>
      <c r="C150">
        <v>344.82612508896136</v>
      </c>
      <c r="D150">
        <v>335.95190908752983</v>
      </c>
      <c r="E150">
        <v>341.52825927734375</v>
      </c>
      <c r="F150">
        <v>69772500</v>
      </c>
      <c r="G150">
        <v>347.66526757260027</v>
      </c>
      <c r="H150">
        <v>339.49249462405123</v>
      </c>
      <c r="I150">
        <v>50.881253458739074</v>
      </c>
      <c r="J150">
        <v>-13.05917301943933</v>
      </c>
      <c r="K150">
        <v>8.1727729485490386</v>
      </c>
      <c r="L150">
        <v>13.109183718551504</v>
      </c>
      <c r="M150">
        <v>400.20514516776979</v>
      </c>
      <c r="N150">
        <v>355.90691986083982</v>
      </c>
      <c r="O150">
        <v>311.60869455390986</v>
      </c>
      <c r="P150">
        <v>30.065996993824264</v>
      </c>
      <c r="Q150">
        <v>35.106856755851489</v>
      </c>
      <c r="R150">
        <v>-69.934003006175743</v>
      </c>
    </row>
    <row r="151" spans="1:18" x14ac:dyDescent="0.3">
      <c r="A151" s="20">
        <v>46262</v>
      </c>
      <c r="B151">
        <v>340.51891636096491</v>
      </c>
      <c r="C151">
        <v>347.85415047115191</v>
      </c>
      <c r="D151">
        <v>335.18237648014912</v>
      </c>
      <c r="E151">
        <v>342.65753173828125</v>
      </c>
      <c r="F151">
        <v>82436000</v>
      </c>
      <c r="G151">
        <v>346.89484667500079</v>
      </c>
      <c r="H151">
        <v>339.72694427189822</v>
      </c>
      <c r="I151">
        <v>51.204503327178877</v>
      </c>
      <c r="J151">
        <v>-9.5665700653979506</v>
      </c>
      <c r="K151">
        <v>7.1679024031025733</v>
      </c>
      <c r="L151">
        <v>11.920927455461714</v>
      </c>
      <c r="M151">
        <v>397.82865721697954</v>
      </c>
      <c r="N151">
        <v>357.27352752685545</v>
      </c>
      <c r="O151">
        <v>316.71839783673136</v>
      </c>
      <c r="P151">
        <v>37.38207224688459</v>
      </c>
      <c r="Q151">
        <v>33.172577681712177</v>
      </c>
      <c r="R151">
        <v>-62.61792775311541</v>
      </c>
    </row>
    <row r="152" spans="1:18" x14ac:dyDescent="0.3">
      <c r="A152" s="20">
        <v>46269</v>
      </c>
      <c r="B152">
        <v>339.79937711156572</v>
      </c>
      <c r="C152">
        <v>340.62885646216557</v>
      </c>
      <c r="D152">
        <v>329.07636268740362</v>
      </c>
      <c r="E152">
        <v>335.30999755859375</v>
      </c>
      <c r="F152">
        <v>78070100</v>
      </c>
      <c r="G152">
        <v>345.11256219553019</v>
      </c>
      <c r="H152">
        <v>339.39975986263443</v>
      </c>
      <c r="I152">
        <v>48.947415752881817</v>
      </c>
      <c r="J152">
        <v>-10.812203248507791</v>
      </c>
      <c r="K152">
        <v>5.7128023328957624</v>
      </c>
      <c r="L152">
        <v>10.679302430948521</v>
      </c>
      <c r="M152">
        <v>398.02492476258732</v>
      </c>
      <c r="N152">
        <v>357.09023742675782</v>
      </c>
      <c r="O152">
        <v>316.15555009092833</v>
      </c>
      <c r="P152">
        <v>30.839327663268428</v>
      </c>
      <c r="Q152">
        <v>32.762465634659087</v>
      </c>
      <c r="R152">
        <v>-69.160672336731565</v>
      </c>
    </row>
    <row r="153" spans="1:18" x14ac:dyDescent="0.3">
      <c r="A153" s="20">
        <v>46276</v>
      </c>
      <c r="B153">
        <v>331.989990234375</v>
      </c>
      <c r="C153">
        <v>339.95001220703125</v>
      </c>
      <c r="D153">
        <v>325.6300048828125</v>
      </c>
      <c r="E153">
        <v>335.45001220703125</v>
      </c>
      <c r="F153">
        <v>65716800</v>
      </c>
      <c r="G153">
        <v>343.62601604343695</v>
      </c>
      <c r="H153">
        <v>339.10718333647526</v>
      </c>
      <c r="I153">
        <v>48.993556204374457</v>
      </c>
      <c r="J153">
        <v>-8.1720807027826687</v>
      </c>
      <c r="K153">
        <v>4.5188327069616889</v>
      </c>
      <c r="L153">
        <v>9.4472084861511529</v>
      </c>
      <c r="M153">
        <v>398.30333670086259</v>
      </c>
      <c r="N153">
        <v>356.76813049316405</v>
      </c>
      <c r="O153">
        <v>315.23292428546551</v>
      </c>
      <c r="P153">
        <v>31.048690416934676</v>
      </c>
      <c r="Q153">
        <v>33.090030109029222</v>
      </c>
      <c r="R153">
        <v>-68.951309583065324</v>
      </c>
    </row>
    <row r="154" spans="1:18" x14ac:dyDescent="0.3">
      <c r="A154" s="20">
        <v>46283</v>
      </c>
      <c r="B154">
        <v>339.1099853515625</v>
      </c>
      <c r="C154">
        <v>355.1300048828125</v>
      </c>
      <c r="D154">
        <v>337.45001220703125</v>
      </c>
      <c r="E154">
        <v>344.41000366210938</v>
      </c>
      <c r="F154">
        <v>98139700</v>
      </c>
      <c r="G154">
        <v>343.74662952323382</v>
      </c>
      <c r="H154">
        <v>339.49998810619627</v>
      </c>
      <c r="I154">
        <v>51.984215518835967</v>
      </c>
      <c r="J154">
        <v>-3.7766401760896184</v>
      </c>
      <c r="K154">
        <v>4.2466414170375515</v>
      </c>
      <c r="L154">
        <v>8.4070950723284312</v>
      </c>
      <c r="M154">
        <v>394.84958441072013</v>
      </c>
      <c r="N154">
        <v>354.85157928466799</v>
      </c>
      <c r="O154">
        <v>314.85357415861586</v>
      </c>
      <c r="P154">
        <v>44.446492038374046</v>
      </c>
      <c r="Q154">
        <v>35.444836706192376</v>
      </c>
      <c r="R154">
        <v>-55.553507961625961</v>
      </c>
    </row>
    <row r="155" spans="1:18" x14ac:dyDescent="0.3">
      <c r="A155" s="20">
        <v>46290</v>
      </c>
      <c r="B155">
        <v>346.19000244140625</v>
      </c>
      <c r="C155">
        <v>359.98001098632813</v>
      </c>
      <c r="D155">
        <v>332.80999755859375</v>
      </c>
      <c r="E155">
        <v>341.07998657226563</v>
      </c>
      <c r="F155">
        <v>91524400</v>
      </c>
      <c r="G155">
        <v>343.33637676154314</v>
      </c>
      <c r="H155">
        <v>339.61702593012524</v>
      </c>
      <c r="I155">
        <v>50.792252127028362</v>
      </c>
      <c r="J155">
        <v>-7.1187540185971727</v>
      </c>
      <c r="K155">
        <v>3.7193508314178985</v>
      </c>
      <c r="L155">
        <v>7.469546224146324</v>
      </c>
      <c r="M155">
        <v>387.30934139315559</v>
      </c>
      <c r="N155">
        <v>352.07789154052733</v>
      </c>
      <c r="O155">
        <v>316.84644168789907</v>
      </c>
      <c r="P155">
        <v>39.467144838166206</v>
      </c>
      <c r="Q155">
        <v>38.320775764491636</v>
      </c>
      <c r="R155">
        <v>-60.532855161833787</v>
      </c>
    </row>
    <row r="156" spans="1:18" x14ac:dyDescent="0.3">
      <c r="A156" s="20">
        <v>46297</v>
      </c>
      <c r="B156">
        <v>337.60000610351563</v>
      </c>
      <c r="C156">
        <v>350.093994140625</v>
      </c>
      <c r="D156">
        <v>332.64999389648438</v>
      </c>
      <c r="E156">
        <v>340.35000610351563</v>
      </c>
      <c r="F156">
        <v>89656100</v>
      </c>
      <c r="G156">
        <v>342.87693512184353</v>
      </c>
      <c r="H156">
        <v>339.67132114459866</v>
      </c>
      <c r="I156">
        <v>50.518792106341394</v>
      </c>
      <c r="J156">
        <v>1.7571339142392839</v>
      </c>
      <c r="K156">
        <v>3.205613977244866</v>
      </c>
      <c r="L156">
        <v>6.6167597747660309</v>
      </c>
      <c r="M156">
        <v>379.31400261817117</v>
      </c>
      <c r="N156">
        <v>349.45397186279297</v>
      </c>
      <c r="O156">
        <v>319.59394110741476</v>
      </c>
      <c r="P156">
        <v>38.37561103962728</v>
      </c>
      <c r="Q156">
        <v>40.763082638722508</v>
      </c>
      <c r="R156">
        <v>-61.62438896037272</v>
      </c>
    </row>
    <row r="157" spans="1:18" x14ac:dyDescent="0.3">
      <c r="A157" s="20">
        <v>46304</v>
      </c>
      <c r="B157">
        <v>339.20999145507813</v>
      </c>
      <c r="C157">
        <v>353.52999877929688</v>
      </c>
      <c r="D157">
        <v>339.14999389648438</v>
      </c>
      <c r="E157">
        <v>347.8599853515625</v>
      </c>
      <c r="F157">
        <v>63634200</v>
      </c>
      <c r="G157">
        <v>343.64355823411228</v>
      </c>
      <c r="H157">
        <v>340.27789286492327</v>
      </c>
      <c r="I157">
        <v>53.304185295833875</v>
      </c>
      <c r="J157">
        <v>-2.2724969550917407</v>
      </c>
      <c r="K157">
        <v>3.3656653691890028</v>
      </c>
      <c r="L157">
        <v>5.9665408936506248</v>
      </c>
      <c r="M157">
        <v>374.34780753913731</v>
      </c>
      <c r="N157">
        <v>347.90167999267578</v>
      </c>
      <c r="O157">
        <v>321.45555244621426</v>
      </c>
      <c r="P157">
        <v>49.605221318935413</v>
      </c>
      <c r="Q157">
        <v>42.482659065576293</v>
      </c>
      <c r="R157">
        <v>-50.394778681064579</v>
      </c>
    </row>
    <row r="158" spans="1:18" x14ac:dyDescent="0.3">
      <c r="A158" s="20">
        <v>46311</v>
      </c>
      <c r="B158">
        <v>348.33999633789063</v>
      </c>
      <c r="C158">
        <v>355.25</v>
      </c>
      <c r="D158">
        <v>335.5</v>
      </c>
      <c r="E158">
        <v>336.91000366210938</v>
      </c>
      <c r="F158">
        <v>79871700</v>
      </c>
      <c r="G158">
        <v>342.60762676149147</v>
      </c>
      <c r="H158">
        <v>340.02841806686581</v>
      </c>
      <c r="I158">
        <v>48.97523971426078</v>
      </c>
      <c r="J158">
        <v>-5.0421831959625241</v>
      </c>
      <c r="K158">
        <v>2.5792086946256632</v>
      </c>
      <c r="L158">
        <v>5.2890744538456325</v>
      </c>
      <c r="M158">
        <v>369.25256475567454</v>
      </c>
      <c r="N158">
        <v>345.94920501708987</v>
      </c>
      <c r="O158">
        <v>322.64584527850519</v>
      </c>
      <c r="P158">
        <v>33.231803646696434</v>
      </c>
      <c r="Q158">
        <v>40.404212001753045</v>
      </c>
      <c r="R158">
        <v>-66.768196353303566</v>
      </c>
    </row>
    <row r="159" spans="1:18" x14ac:dyDescent="0.3">
      <c r="A159" s="20">
        <v>46318</v>
      </c>
      <c r="B159">
        <v>340.125</v>
      </c>
      <c r="C159">
        <v>342.51998901367188</v>
      </c>
      <c r="D159">
        <v>316.989990234375</v>
      </c>
      <c r="E159">
        <v>317.27999877929688</v>
      </c>
      <c r="F159">
        <v>78728100</v>
      </c>
      <c r="G159">
        <v>338.71106861036878</v>
      </c>
      <c r="H159">
        <v>338.34334044154741</v>
      </c>
      <c r="I159">
        <v>42.337268702270308</v>
      </c>
      <c r="J159">
        <v>-8.2728605608003001</v>
      </c>
      <c r="K159">
        <v>0.36772816882137249</v>
      </c>
      <c r="L159">
        <v>4.3048051968407801</v>
      </c>
      <c r="M159">
        <v>368.30592553761733</v>
      </c>
      <c r="N159">
        <v>343.54806213378907</v>
      </c>
      <c r="O159">
        <v>318.79019872996082</v>
      </c>
      <c r="P159">
        <v>3.8792185949827989</v>
      </c>
      <c r="Q159">
        <v>28.905414520204875</v>
      </c>
      <c r="R159">
        <v>-96.120781405017198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5BE4-952D-4227-93B5-8069D05C191F}">
  <dimension ref="A1"/>
  <sheetViews>
    <sheetView workbookViewId="0"/>
  </sheetViews>
  <sheetFormatPr defaultRowHeight="14.4" x14ac:dyDescent="0.3"/>
  <sheetData>
    <row r="1" spans="1:1" x14ac:dyDescent="0.3">
      <c r="A1" s="16" t="s">
        <v>465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HOW_IT_WORKS</vt:lpstr>
      <vt:lpstr>MASTER</vt:lpstr>
      <vt:lpstr>PROFILE</vt:lpstr>
      <vt:lpstr>PL</vt:lpstr>
      <vt:lpstr>BS</vt:lpstr>
      <vt:lpstr>CF</vt:lpstr>
      <vt:lpstr>QTLY</vt:lpstr>
      <vt:lpstr>PRICES_DAILY</vt:lpstr>
      <vt:lpstr>PRICES_WEEKLY</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2025-03-30T10:32:07Z</dcterms:created>
  <dcterms:modified xsi:type="dcterms:W3CDTF">2026-10-24T15:09:46Z</dcterms:modified>
</cp:coreProperties>
</file>